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734B79E-F878-4908-B3E5-DF1C149F6D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la General" sheetId="1" r:id="rId1"/>
    <sheet name="Asistencia" sheetId="9" r:id="rId2"/>
    <sheet name="Trabajo Pract 1" sheetId="3" r:id="rId3"/>
    <sheet name="Trabajo Pract 2" sheetId="5" r:id="rId4"/>
    <sheet name="Trabajo Pract 3" sheetId="6" r:id="rId5"/>
    <sheet name="Monografía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9" l="1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6" i="1"/>
  <c r="J16" i="1" s="1"/>
  <c r="M21" i="7"/>
  <c r="M16" i="7"/>
  <c r="M28" i="7"/>
  <c r="M23" i="7"/>
  <c r="I31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4" i="5"/>
  <c r="I13" i="5"/>
  <c r="I12" i="5"/>
  <c r="I11" i="5"/>
  <c r="M30" i="7"/>
  <c r="M20" i="7"/>
  <c r="M22" i="7"/>
  <c r="M29" i="7"/>
  <c r="M13" i="7"/>
  <c r="M14" i="7"/>
  <c r="M17" i="7"/>
  <c r="M24" i="7"/>
  <c r="M31" i="7"/>
  <c r="M18" i="7"/>
  <c r="M26" i="7"/>
  <c r="F19" i="6"/>
  <c r="G19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F26" i="6"/>
  <c r="G26" i="6" s="1"/>
  <c r="F25" i="6"/>
  <c r="G25" i="6" s="1"/>
  <c r="F24" i="6"/>
  <c r="F23" i="6"/>
  <c r="G23" i="6" s="1"/>
  <c r="F22" i="6"/>
  <c r="G22" i="6" s="1"/>
  <c r="F21" i="6"/>
  <c r="G21" i="6" s="1"/>
  <c r="F20" i="6"/>
  <c r="G20" i="6" s="1"/>
  <c r="F18" i="6"/>
  <c r="G18" i="6" s="1"/>
  <c r="F17" i="6"/>
  <c r="G17" i="6" s="1"/>
  <c r="F16" i="6"/>
  <c r="F15" i="6"/>
  <c r="G15" i="6" s="1"/>
  <c r="F14" i="6"/>
  <c r="G14" i="6" s="1"/>
  <c r="F13" i="6"/>
  <c r="G13" i="6" s="1"/>
  <c r="F12" i="6"/>
  <c r="G12" i="6" s="1"/>
  <c r="G27" i="6"/>
  <c r="G24" i="6"/>
  <c r="G16" i="6"/>
  <c r="I29" i="3"/>
  <c r="I22" i="3"/>
  <c r="H22" i="3"/>
  <c r="H30" i="3"/>
  <c r="I30" i="3" s="1"/>
  <c r="H29" i="3"/>
  <c r="I28" i="1"/>
  <c r="H30" i="5"/>
  <c r="I30" i="5" s="1"/>
  <c r="H21" i="3"/>
  <c r="I21" i="3" s="1"/>
  <c r="H16" i="3"/>
  <c r="I16" i="3" s="1"/>
  <c r="H17" i="3"/>
  <c r="I17" i="3" s="1"/>
  <c r="H20" i="3"/>
  <c r="I20" i="3" s="1"/>
  <c r="H15" i="3"/>
  <c r="I15" i="3" s="1"/>
  <c r="H23" i="3"/>
  <c r="I23" i="3" s="1"/>
  <c r="H28" i="3"/>
  <c r="I28" i="3" s="1"/>
  <c r="H31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I15" i="5" s="1"/>
  <c r="H14" i="5"/>
  <c r="H13" i="5"/>
  <c r="H12" i="5"/>
  <c r="H11" i="5"/>
  <c r="H24" i="3" l="1"/>
  <c r="I24" i="3" s="1"/>
  <c r="I19" i="1"/>
  <c r="I13" i="1"/>
  <c r="I24" i="1"/>
  <c r="J24" i="1" s="1"/>
  <c r="I14" i="1"/>
  <c r="I18" i="1"/>
  <c r="I12" i="1"/>
  <c r="I9" i="1"/>
  <c r="I15" i="1"/>
  <c r="J15" i="1" s="1"/>
  <c r="I21" i="1"/>
  <c r="J21" i="1" s="1"/>
  <c r="I26" i="1"/>
  <c r="J26" i="1" s="1"/>
  <c r="I11" i="1"/>
  <c r="I22" i="1"/>
  <c r="J22" i="1" s="1"/>
  <c r="I17" i="1"/>
  <c r="I27" i="1"/>
  <c r="I20" i="1"/>
  <c r="I10" i="1"/>
  <c r="J10" i="1" s="1"/>
  <c r="I25" i="1"/>
  <c r="J25" i="1" s="1"/>
  <c r="I29" i="1"/>
  <c r="J29" i="1" s="1"/>
  <c r="I8" i="1"/>
  <c r="I23" i="1"/>
  <c r="J23" i="1" s="1"/>
  <c r="H13" i="3"/>
  <c r="I13" i="3" s="1"/>
  <c r="H18" i="3"/>
  <c r="I18" i="3" s="1"/>
  <c r="H11" i="3"/>
  <c r="I11" i="3" s="1"/>
  <c r="H12" i="3"/>
  <c r="I12" i="3" s="1"/>
  <c r="H26" i="3"/>
  <c r="I26" i="3" s="1"/>
  <c r="H27" i="3"/>
  <c r="I27" i="3" s="1"/>
  <c r="H14" i="3"/>
  <c r="I14" i="3" s="1"/>
  <c r="H25" i="3"/>
  <c r="I25" i="3" s="1"/>
  <c r="H31" i="3"/>
  <c r="I31" i="3" s="1"/>
  <c r="H19" i="3"/>
  <c r="I19" i="3" s="1"/>
</calcChain>
</file>

<file path=xl/sharedStrings.xml><?xml version="1.0" encoding="utf-8"?>
<sst xmlns="http://schemas.openxmlformats.org/spreadsheetml/2006/main" count="251" uniqueCount="94">
  <si>
    <t>CODIGO:CEN-AS-PC-MAGP 006</t>
  </si>
  <si>
    <t>Carrera: Maestría en Administración y Gestión Pública</t>
  </si>
  <si>
    <t>Periodo:</t>
  </si>
  <si>
    <t>Ordinario</t>
  </si>
  <si>
    <t>Extraordinario</t>
  </si>
  <si>
    <t>Complementario</t>
  </si>
  <si>
    <t>Nº</t>
  </si>
  <si>
    <t>Apellidos y Nombres</t>
  </si>
  <si>
    <t xml:space="preserve">C. I. Nro. </t>
  </si>
  <si>
    <t xml:space="preserve">Sección: </t>
  </si>
  <si>
    <t>Año: 2026</t>
  </si>
  <si>
    <t>Profesor:  Mg Carlos Diaz</t>
  </si>
  <si>
    <r>
      <t>Modulo :</t>
    </r>
    <r>
      <rPr>
        <b/>
        <sz val="8"/>
        <color rgb="FF003300"/>
        <rFont val="Times New Roman"/>
        <family val="1"/>
      </rPr>
      <t xml:space="preserve"> </t>
    </r>
    <r>
      <rPr>
        <b/>
        <sz val="12"/>
        <color rgb="FF003300"/>
        <rFont val="Times New Roman"/>
        <family val="1"/>
      </rPr>
      <t>Planificación Estrategica en el Sector Público</t>
    </r>
  </si>
  <si>
    <t>Virtual 31julio</t>
  </si>
  <si>
    <t>Presencial 24julio</t>
  </si>
  <si>
    <t>Trabajo Practico 1 =   10 (diez) puntos o sea  100% de cumplimiento de los Criterios evaluativos.</t>
  </si>
  <si>
    <t>Calidad del Diagnóstico (Descripción del problema/proyecto) - 25%</t>
  </si>
  <si>
    <t>Solidez de la Justificación - 25%</t>
  </si>
  <si>
    <t>Mapeo de Actores y Proyección de Beneficios - 25%</t>
  </si>
  <si>
    <t>Formato, Redacción y Pautas de Entrega - 25%</t>
  </si>
  <si>
    <t>Rendomiento en %</t>
  </si>
  <si>
    <t>Virtual 7agosto</t>
  </si>
  <si>
    <t>Virtual14agosto</t>
  </si>
  <si>
    <t>Total de Puntos acumulados</t>
  </si>
  <si>
    <t>Asistencia</t>
  </si>
  <si>
    <t>RAMIREZ, Eduardo</t>
  </si>
  <si>
    <t>AGUIRRE BENITEZ, Eva</t>
  </si>
  <si>
    <t>VILLALBA de GONZALEZ, Diana María</t>
  </si>
  <si>
    <t>RUIZ DIAZ T., Patricia D.</t>
  </si>
  <si>
    <t>ALVAREZ. María E.</t>
  </si>
  <si>
    <t>ORUE GUERRERO, Rocio R.</t>
  </si>
  <si>
    <t>SUAREZ G., Guillermo A.</t>
  </si>
  <si>
    <t>MARTINEZ, Patricia Carolina</t>
  </si>
  <si>
    <t>PEDROZO ROJAS, Marcelo Daniel</t>
  </si>
  <si>
    <t>ARZAMENDIA ROA, Cynthia Carolina</t>
  </si>
  <si>
    <t>SANCHEZ IBARROLA, María Isabel</t>
  </si>
  <si>
    <t>PALACIOS ALCARAZ, Rossana Celeste</t>
  </si>
  <si>
    <t>FLOR, Nelson Dario</t>
  </si>
  <si>
    <t>ALVARENGA PEZOA, Leonida</t>
  </si>
  <si>
    <t>BOBADILLA, Natalia</t>
  </si>
  <si>
    <t>MONNIN, Melanie</t>
  </si>
  <si>
    <t>FLEITAS VALDEZ, Isabella</t>
  </si>
  <si>
    <t>RAMIREZ ALVARENGA, Celedonia</t>
  </si>
  <si>
    <t>MORAN, Milva</t>
  </si>
  <si>
    <t>Sumatoria FINAL</t>
  </si>
  <si>
    <t>P U N T O S</t>
  </si>
  <si>
    <t>Redondeamiento en %</t>
  </si>
  <si>
    <t>Calidad y pertinencia de la Misión y Visión  -50%</t>
  </si>
  <si>
    <t>Rigor y exhaustividad del Análisis FODA -50%</t>
  </si>
  <si>
    <t>Correcta construcción e interpretación de las Matrices EFI y EFE  -50%</t>
  </si>
  <si>
    <t>Formato, Redacción y Pautas de Entrega  -50%</t>
  </si>
  <si>
    <t>BURGOS BENITEZ, Sandra Noemí</t>
  </si>
  <si>
    <t>SUAREZ Guanes., Guillermo A.</t>
  </si>
  <si>
    <t>FLOR MUÑOZ, Nelson Dario</t>
  </si>
  <si>
    <t>VARGAS VERON, Nelson Luis</t>
  </si>
  <si>
    <t>RUIZ DIAZ FARIÑA., Patricia Diana</t>
  </si>
  <si>
    <t>AGUIRRE BENITEZ, Eva Margarita</t>
  </si>
  <si>
    <t>RAMIREZ ANCIAUX, Eduardo Antonio</t>
  </si>
  <si>
    <t>MARTINEZ RUIZ DIAZ, Patricia Carolina</t>
  </si>
  <si>
    <t>ALVAREZ CABRERA. María Ermelinda</t>
  </si>
  <si>
    <t>BOBADILLA MORA, Natalia Elizabeth</t>
  </si>
  <si>
    <t>MORAN QUINTERO, Milva</t>
  </si>
  <si>
    <t>Coherencia y pertinencia en los enunciados solicitados del párrafo 2 – 75%</t>
  </si>
  <si>
    <t>b. Formato, Redacción y Pautas de Entrega - 25%</t>
  </si>
  <si>
    <t>Trabajo Practico 2 =   10 (diez) puntos o sea  100% de cumplimiento de los Criterios evaluativos.</t>
  </si>
  <si>
    <t>Trabajo Practico 3 =   10 (diez) puntos o sea  100% de cumplimiento de los Criterios evaluativos.</t>
  </si>
  <si>
    <t>Claridad, pertinencia y delimitación del problema de investigación (5%)</t>
  </si>
  <si>
    <t>Coherencia de los objetivos con el problema planteado y viabilidad de cumplimiento (10%)</t>
  </si>
  <si>
    <t>Calidad de la fundamentación teórica: actualidad de las fuentes, integración de conceptos y sustento normativo (10%)</t>
  </si>
  <si>
    <t>Descripción adecuada del enfoque, diseño metodológico, técnicas e instrumentos utilizados (4%).</t>
  </si>
  <si>
    <t>Profundidad del análisis, interpretación crítica y relación con los objetivos planteados (6%)</t>
  </si>
  <si>
    <t>Coherencia de las conclusiones con los resultados, capacidad de síntesis y respuesta a la pregunta de investigación (10%)</t>
  </si>
  <si>
    <t>Correcta utilización de citas y referencias, y respeto a la ética académica (5%)</t>
  </si>
  <si>
    <t>Ortografía, lenguaje técnico, estructura, tablas, figuras y calidad formal del documento (5%)</t>
  </si>
  <si>
    <t>Viabilidad y fundamentación técnica de la propuesta, y su aporte para mejorar la gestión de la institución estudiada (5%)</t>
  </si>
  <si>
    <t>Trabajo Monográfico=   60 puntos o sea  100% de cumplimiento de los Criterios evaluativos discriminados directamente por porcentaje conforme a cada criterio evaluativo consignado en esta Planilla.</t>
  </si>
  <si>
    <t>FLOR MUÑOZ, Nelson Darío</t>
  </si>
  <si>
    <t>VILLALBA, Diana</t>
  </si>
  <si>
    <t>ÁLVAREZ CABRERA, María Ermelinda</t>
  </si>
  <si>
    <t>RUIZ DIAZ FARIÑA, Patricia Diana</t>
  </si>
  <si>
    <t>MORÁN QUINTERO, Milva</t>
  </si>
  <si>
    <t>FRANCO MAIDANA, Victor Daniel</t>
  </si>
  <si>
    <r>
      <t>Modulo :</t>
    </r>
    <r>
      <rPr>
        <b/>
        <sz val="8"/>
        <color rgb="FF003300"/>
        <rFont val="Times New Roman"/>
        <family val="1"/>
      </rPr>
      <t xml:space="preserve"> </t>
    </r>
    <r>
      <rPr>
        <b/>
        <sz val="12"/>
        <color rgb="FF003300"/>
        <rFont val="Times New Roman"/>
        <family val="1"/>
      </rPr>
      <t>PlanifEstrat / SectPúb</t>
    </r>
  </si>
  <si>
    <t>B</t>
  </si>
  <si>
    <t>A</t>
  </si>
  <si>
    <t>S</t>
  </si>
  <si>
    <t>D</t>
  </si>
  <si>
    <t xml:space="preserve">FORO 1-10 ptos </t>
  </si>
  <si>
    <t>FORO 2 -10 ptos</t>
  </si>
  <si>
    <t>FORO 3- 10 ptos</t>
  </si>
  <si>
    <t>Trabajo Final 60 Ptos</t>
  </si>
  <si>
    <t>Calif.Final en nros</t>
  </si>
  <si>
    <t>Calif.Final en letras</t>
  </si>
  <si>
    <r>
      <t>Modulo :</t>
    </r>
    <r>
      <rPr>
        <b/>
        <sz val="8"/>
        <color rgb="FF003300"/>
        <rFont val="Times New Roman"/>
        <family val="1"/>
      </rPr>
      <t xml:space="preserve"> </t>
    </r>
    <r>
      <rPr>
        <b/>
        <sz val="12"/>
        <color rgb="FF003300"/>
        <rFont val="Times New Roman"/>
        <family val="1"/>
      </rPr>
      <t>Planif. Estratégica / SectPúb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</si>
</sst>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>
    <font>
      <sz val="11"/>
      <color theme="1"/>
      <name val="Calibri"/>
      <family val="2"/>
      <scheme val="minor"/>
    </font>
    <font>
      <b/>
      <sz val="22"/>
      <color theme="1"/>
      <name val="Aharoni"/>
      <charset val="134"/>
    </font>
    <font>
      <b/>
      <sz val="18"/>
      <color theme="1"/>
      <name val="Aharoni"/>
      <charset val="134"/>
    </font>
    <font>
      <b/>
      <sz val="12"/>
      <color theme="1"/>
      <name val="Aharoni"/>
      <charset val="134"/>
    </font>
    <font>
      <sz val="11"/>
      <color theme="1"/>
      <name val="Times New Roman"/>
      <charset val="134"/>
    </font>
    <font>
      <b/>
      <sz val="18"/>
      <color rgb="FF003300"/>
      <name val="Times New Roman"/>
      <charset val="134"/>
    </font>
    <font>
      <sz val="11"/>
      <color rgb="FF003300"/>
      <name val="Cambria"/>
      <family val="1"/>
    </font>
    <font>
      <b/>
      <sz val="18"/>
      <color rgb="FF003300"/>
      <name val="Times New Roman"/>
      <family val="1"/>
    </font>
    <font>
      <b/>
      <sz val="11"/>
      <color theme="1"/>
      <name val="Times New Roman"/>
      <charset val="134"/>
    </font>
    <font>
      <b/>
      <sz val="12"/>
      <color rgb="FF003300"/>
      <name val="Times New Roman"/>
      <family val="1"/>
    </font>
    <font>
      <b/>
      <sz val="8"/>
      <color rgb="FF003300"/>
      <name val="Times New Roman"/>
      <family val="1"/>
    </font>
    <font>
      <b/>
      <sz val="11"/>
      <color rgb="FF003300"/>
      <name val="Times New Roman"/>
      <family val="1"/>
    </font>
    <font>
      <sz val="9"/>
      <color rgb="FF003300"/>
      <name val="Times New Roman"/>
      <family val="1"/>
    </font>
    <font>
      <sz val="11"/>
      <color rgb="FF003300"/>
      <name val="Calibri"/>
      <family val="2"/>
      <scheme val="minor"/>
    </font>
    <font>
      <b/>
      <sz val="12"/>
      <color rgb="FF003300"/>
      <name val="Times New Roman"/>
      <charset val="134"/>
    </font>
    <font>
      <sz val="8"/>
      <color rgb="FF003300"/>
      <name val="Times New Roman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0"/>
      <color theme="0"/>
      <name val="Cambria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Arial"/>
      <charset val="134"/>
    </font>
    <font>
      <sz val="12"/>
      <color theme="1"/>
      <name val="Arial Black"/>
      <family val="2"/>
    </font>
    <font>
      <b/>
      <sz val="11"/>
      <color theme="1"/>
      <name val="Times New Roman"/>
      <family val="1"/>
    </font>
    <font>
      <b/>
      <sz val="14"/>
      <color rgb="FF000000"/>
      <name val="Cambria"/>
      <family val="1"/>
    </font>
    <font>
      <b/>
      <sz val="11"/>
      <color rgb="FF003300"/>
      <name val="Cambria"/>
      <family val="1"/>
    </font>
    <font>
      <b/>
      <sz val="14"/>
      <color theme="1"/>
      <name val="Arial Rounded MT Bold"/>
      <family val="2"/>
    </font>
    <font>
      <b/>
      <sz val="12"/>
      <color theme="1"/>
      <name val="Arial Black"/>
      <family val="2"/>
    </font>
    <font>
      <b/>
      <sz val="9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3" fillId="0" borderId="0"/>
  </cellStyleXfs>
  <cellXfs count="99"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textRotation="90" wrapText="1"/>
    </xf>
    <xf numFmtId="0" fontId="18" fillId="2" borderId="3" xfId="0" applyFont="1" applyFill="1" applyBorder="1" applyAlignment="1">
      <alignment horizontal="center" vertical="center" textRotation="90" wrapText="1"/>
    </xf>
    <xf numFmtId="0" fontId="19" fillId="3" borderId="4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9" fillId="3" borderId="5" xfId="0" applyFont="1" applyFill="1" applyBorder="1" applyAlignment="1">
      <alignment horizontal="center"/>
    </xf>
    <xf numFmtId="0" fontId="21" fillId="3" borderId="5" xfId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8" fillId="2" borderId="9" xfId="0" applyFont="1" applyFill="1" applyBorder="1" applyAlignment="1">
      <alignment horizontal="center" vertical="center" textRotation="90" wrapText="1"/>
    </xf>
    <xf numFmtId="1" fontId="24" fillId="0" borderId="14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0" fontId="20" fillId="3" borderId="12" xfId="0" applyFont="1" applyFill="1" applyBorder="1"/>
    <xf numFmtId="0" fontId="20" fillId="3" borderId="13" xfId="0" applyFont="1" applyFill="1" applyBorder="1"/>
    <xf numFmtId="0" fontId="20" fillId="3" borderId="13" xfId="0" applyFont="1" applyFill="1" applyBorder="1" applyAlignment="1">
      <alignment vertical="center"/>
    </xf>
    <xf numFmtId="2" fontId="24" fillId="0" borderId="5" xfId="0" applyNumberFormat="1" applyFont="1" applyBorder="1" applyAlignment="1">
      <alignment horizontal="center" vertical="center"/>
    </xf>
    <xf numFmtId="3" fontId="24" fillId="0" borderId="13" xfId="0" applyNumberFormat="1" applyFont="1" applyBorder="1" applyAlignment="1">
      <alignment horizontal="center" vertical="center"/>
    </xf>
    <xf numFmtId="9" fontId="18" fillId="2" borderId="2" xfId="0" applyNumberFormat="1" applyFont="1" applyFill="1" applyBorder="1" applyAlignment="1">
      <alignment horizontal="center" vertical="center" textRotation="90" wrapText="1"/>
    </xf>
    <xf numFmtId="0" fontId="25" fillId="3" borderId="13" xfId="0" applyFont="1" applyFill="1" applyBorder="1"/>
    <xf numFmtId="0" fontId="25" fillId="3" borderId="13" xfId="0" applyFont="1" applyFill="1" applyBorder="1" applyAlignment="1">
      <alignment vertical="center"/>
    </xf>
    <xf numFmtId="0" fontId="25" fillId="3" borderId="12" xfId="0" applyFont="1" applyFill="1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3" fontId="24" fillId="0" borderId="12" xfId="0" applyNumberFormat="1" applyFon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textRotation="90" wrapText="1"/>
    </xf>
    <xf numFmtId="0" fontId="18" fillId="2" borderId="1" xfId="0" applyFont="1" applyFill="1" applyBorder="1" applyAlignment="1">
      <alignment horizontal="center" vertical="center" textRotation="90" wrapText="1"/>
    </xf>
    <xf numFmtId="1" fontId="24" fillId="0" borderId="5" xfId="0" applyNumberFormat="1" applyFont="1" applyBorder="1" applyAlignment="1">
      <alignment horizontal="center" vertical="center"/>
    </xf>
    <xf numFmtId="0" fontId="21" fillId="3" borderId="4" xfId="1" applyFont="1" applyFill="1" applyBorder="1" applyAlignment="1">
      <alignment horizontal="center" vertical="center"/>
    </xf>
    <xf numFmtId="9" fontId="18" fillId="2" borderId="1" xfId="0" applyNumberFormat="1" applyFont="1" applyFill="1" applyBorder="1" applyAlignment="1">
      <alignment horizontal="center" vertical="center" textRotation="90" wrapText="1"/>
    </xf>
    <xf numFmtId="0" fontId="18" fillId="2" borderId="16" xfId="0" applyFont="1" applyFill="1" applyBorder="1" applyAlignment="1">
      <alignment horizontal="center" textRotation="90" wrapText="1"/>
    </xf>
    <xf numFmtId="1" fontId="24" fillId="0" borderId="4" xfId="0" applyNumberFormat="1" applyFont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 textRotation="90" wrapText="1"/>
    </xf>
    <xf numFmtId="2" fontId="20" fillId="3" borderId="5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25" fillId="3" borderId="0" xfId="0" applyFont="1" applyFill="1"/>
    <xf numFmtId="0" fontId="9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0" borderId="0" xfId="0" applyFont="1"/>
    <xf numFmtId="49" fontId="9" fillId="0" borderId="7" xfId="0" applyNumberFormat="1" applyFont="1" applyBorder="1" applyAlignment="1">
      <alignment horizontal="left" vertical="top" wrapText="1"/>
    </xf>
    <xf numFmtId="49" fontId="9" fillId="0" borderId="8" xfId="0" applyNumberFormat="1" applyFont="1" applyBorder="1" applyAlignment="1">
      <alignment horizontal="left" vertical="top" wrapText="1"/>
    </xf>
    <xf numFmtId="49" fontId="9" fillId="0" borderId="9" xfId="0" applyNumberFormat="1" applyFont="1" applyBorder="1" applyAlignment="1">
      <alignment horizontal="left" vertical="top" wrapText="1"/>
    </xf>
    <xf numFmtId="49" fontId="9" fillId="0" borderId="10" xfId="0" applyNumberFormat="1" applyFont="1" applyBorder="1" applyAlignment="1">
      <alignment horizontal="left" vertical="top" wrapText="1"/>
    </xf>
    <xf numFmtId="49" fontId="9" fillId="0" borderId="6" xfId="0" applyNumberFormat="1" applyFont="1" applyBorder="1" applyAlignment="1">
      <alignment horizontal="left" vertical="top" wrapText="1"/>
    </xf>
    <xf numFmtId="49" fontId="9" fillId="0" borderId="11" xfId="0" applyNumberFormat="1" applyFont="1" applyBorder="1" applyAlignment="1">
      <alignment horizontal="left" vertical="top" wrapText="1"/>
    </xf>
    <xf numFmtId="49" fontId="9" fillId="0" borderId="7" xfId="0" applyNumberFormat="1" applyFont="1" applyBorder="1" applyAlignment="1">
      <alignment horizontal="center" vertical="top" wrapText="1"/>
    </xf>
    <xf numFmtId="49" fontId="9" fillId="0" borderId="8" xfId="0" applyNumberFormat="1" applyFont="1" applyBorder="1" applyAlignment="1">
      <alignment horizontal="center" vertical="top" wrapText="1"/>
    </xf>
    <xf numFmtId="49" fontId="9" fillId="0" borderId="9" xfId="0" applyNumberFormat="1" applyFont="1" applyBorder="1" applyAlignment="1">
      <alignment horizontal="center" vertical="top" wrapText="1"/>
    </xf>
    <xf numFmtId="49" fontId="9" fillId="0" borderId="14" xfId="0" applyNumberFormat="1" applyFont="1" applyBorder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49" fontId="9" fillId="0" borderId="15" xfId="0" applyNumberFormat="1" applyFont="1" applyBorder="1" applyAlignment="1">
      <alignment horizontal="center" vertical="top" wrapText="1"/>
    </xf>
    <xf numFmtId="49" fontId="9" fillId="0" borderId="10" xfId="0" applyNumberFormat="1" applyFont="1" applyBorder="1" applyAlignment="1">
      <alignment horizontal="center" vertical="top" wrapText="1"/>
    </xf>
    <xf numFmtId="49" fontId="9" fillId="0" borderId="6" xfId="0" applyNumberFormat="1" applyFont="1" applyBorder="1" applyAlignment="1">
      <alignment horizontal="center" vertical="top" wrapText="1"/>
    </xf>
    <xf numFmtId="49" fontId="9" fillId="0" borderId="11" xfId="0" applyNumberFormat="1" applyFont="1" applyBorder="1" applyAlignment="1">
      <alignment horizontal="center" vertical="top" wrapText="1"/>
    </xf>
    <xf numFmtId="49" fontId="9" fillId="0" borderId="14" xfId="0" applyNumberFormat="1" applyFont="1" applyBorder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0" fontId="9" fillId="0" borderId="0" xfId="0" applyFont="1" applyAlignment="1"/>
    <xf numFmtId="0" fontId="0" fillId="0" borderId="0" xfId="0" applyAlignment="1"/>
    <xf numFmtId="0" fontId="9" fillId="0" borderId="6" xfId="0" applyFont="1" applyBorder="1" applyAlignment="1">
      <alignment horizontal="center"/>
    </xf>
    <xf numFmtId="0" fontId="20" fillId="3" borderId="5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3" borderId="5" xfId="0" applyFont="1" applyFill="1" applyBorder="1" applyAlignment="1">
      <alignment horizontal="center"/>
    </xf>
    <xf numFmtId="0" fontId="28" fillId="3" borderId="5" xfId="0" applyFont="1" applyFill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textRotation="90" wrapText="1"/>
    </xf>
    <xf numFmtId="0" fontId="16" fillId="2" borderId="1" xfId="0" applyFont="1" applyFill="1" applyBorder="1" applyAlignment="1">
      <alignment horizontal="center" vertical="center" textRotation="90" wrapText="1"/>
    </xf>
    <xf numFmtId="0" fontId="18" fillId="2" borderId="2" xfId="0" applyFont="1" applyFill="1" applyBorder="1" applyAlignment="1">
      <alignment horizontal="center" vertical="top" textRotation="90" shrinkToFit="1"/>
    </xf>
    <xf numFmtId="164" fontId="24" fillId="0" borderId="5" xfId="0" applyNumberFormat="1" applyFont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textRotation="90" shrinkToFit="1"/>
    </xf>
  </cellXfs>
  <cellStyles count="2">
    <cellStyle name="Normal" xfId="0" builtinId="0"/>
    <cellStyle name="Normal 2 3" xfId="1" xr:uid="{00000000-0005-0000-0000-000002000000}"/>
  </cellStyles>
  <dxfs count="0"/>
  <tableStyles count="0" defaultTableStyle="TableStyleMedium2" defaultPivotStyle="PivotStyleLight16"/>
  <colors>
    <mruColors>
      <color rgb="FF00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129269</xdr:colOff>
      <xdr:row>0</xdr:row>
      <xdr:rowOff>47625</xdr:rowOff>
    </xdr:from>
    <xdr:ext cx="7953373" cy="8096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269" y="47625"/>
          <a:ext cx="7953373" cy="809625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122464</xdr:colOff>
      <xdr:row>30</xdr:row>
      <xdr:rowOff>173566</xdr:rowOff>
    </xdr:from>
    <xdr:to>
      <xdr:col>9</xdr:col>
      <xdr:colOff>161397</xdr:colOff>
      <xdr:row>35</xdr:row>
      <xdr:rowOff>13758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 bwMode="auto">
        <a:xfrm>
          <a:off x="3551464" y="8705245"/>
          <a:ext cx="3767290" cy="792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400"/>
        </a:p>
        <a:p>
          <a:pPr algn="ctr"/>
          <a:r>
            <a:rPr lang="es-ES" sz="1600" b="1" i="1" spc="100" baseline="0">
              <a:latin typeface="Old English Text MT" panose="03040902040508030806" pitchFamily="66" charset="0"/>
              <a:cs typeface="Times New Roman" panose="02020603050405020304" pitchFamily="18" charset="0"/>
            </a:rPr>
            <a:t>Magister  CARLOS  DIAZ </a:t>
          </a:r>
        </a:p>
      </xdr:txBody>
    </xdr:sp>
    <xdr:clientData/>
  </xdr:twoCellAnchor>
  <xdr:twoCellAnchor editAs="oneCell">
    <xdr:from>
      <xdr:col>11</xdr:col>
      <xdr:colOff>598713</xdr:colOff>
      <xdr:row>2</xdr:row>
      <xdr:rowOff>23812</xdr:rowOff>
    </xdr:from>
    <xdr:to>
      <xdr:col>20</xdr:col>
      <xdr:colOff>450399</xdr:colOff>
      <xdr:row>15</xdr:row>
      <xdr:rowOff>106080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1138245-A248-13EF-0861-17D2CE02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1677" y="649741"/>
          <a:ext cx="6478365" cy="4368518"/>
        </a:xfrm>
        <a:prstGeom prst="rect">
          <a:avLst/>
        </a:prstGeom>
      </xdr:spPr>
    </xdr:pic>
    <xdr:clientData/>
  </xdr:twoCellAnchor>
  <xdr:twoCellAnchor>
    <xdr:from>
      <xdr:col>9</xdr:col>
      <xdr:colOff>172807</xdr:colOff>
      <xdr:row>3</xdr:row>
      <xdr:rowOff>19050</xdr:rowOff>
    </xdr:from>
    <xdr:to>
      <xdr:col>9</xdr:col>
      <xdr:colOff>315682</xdr:colOff>
      <xdr:row>3</xdr:row>
      <xdr:rowOff>152400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3A69A17-CA95-4D6E-BC94-848E6275E2B6}"/>
            </a:ext>
          </a:extLst>
        </xdr:cNvPr>
        <xdr:cNvSpPr/>
      </xdr:nvSpPr>
      <xdr:spPr>
        <a:xfrm>
          <a:off x="7520664" y="849086"/>
          <a:ext cx="142875" cy="133350"/>
        </a:xfrm>
        <a:prstGeom prst="rect">
          <a:avLst/>
        </a:prstGeom>
        <a:solidFill>
          <a:srgbClr val="009900"/>
        </a:solidFill>
        <a:ln w="19050">
          <a:solidFill>
            <a:srgbClr val="00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9</xdr:col>
      <xdr:colOff>172807</xdr:colOff>
      <xdr:row>4</xdr:row>
      <xdr:rowOff>19050</xdr:rowOff>
    </xdr:from>
    <xdr:to>
      <xdr:col>9</xdr:col>
      <xdr:colOff>315682</xdr:colOff>
      <xdr:row>4</xdr:row>
      <xdr:rowOff>190500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7968E438-1DB6-4DE8-81B6-26217F52DC38}"/>
            </a:ext>
          </a:extLst>
        </xdr:cNvPr>
        <xdr:cNvSpPr/>
      </xdr:nvSpPr>
      <xdr:spPr>
        <a:xfrm>
          <a:off x="7520664" y="1039586"/>
          <a:ext cx="142875" cy="171450"/>
        </a:xfrm>
        <a:prstGeom prst="rect">
          <a:avLst/>
        </a:prstGeom>
        <a:noFill/>
        <a:ln w="19050">
          <a:solidFill>
            <a:srgbClr val="00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9</xdr:col>
      <xdr:colOff>172807</xdr:colOff>
      <xdr:row>5</xdr:row>
      <xdr:rowOff>38100</xdr:rowOff>
    </xdr:from>
    <xdr:to>
      <xdr:col>9</xdr:col>
      <xdr:colOff>315682</xdr:colOff>
      <xdr:row>5</xdr:row>
      <xdr:rowOff>209550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1CF49632-5DF2-4112-A62B-83140D51EAEB}"/>
            </a:ext>
          </a:extLst>
        </xdr:cNvPr>
        <xdr:cNvSpPr/>
      </xdr:nvSpPr>
      <xdr:spPr>
        <a:xfrm>
          <a:off x="7520664" y="1262743"/>
          <a:ext cx="142875" cy="171450"/>
        </a:xfrm>
        <a:prstGeom prst="rect">
          <a:avLst/>
        </a:prstGeom>
        <a:noFill/>
        <a:ln w="19050">
          <a:solidFill>
            <a:srgbClr val="00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142876</xdr:colOff>
      <xdr:row>0</xdr:row>
      <xdr:rowOff>142875</xdr:rowOff>
    </xdr:from>
    <xdr:ext cx="7762874" cy="10953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E9DD5B06-D29C-4567-B14C-7AE9EDE15A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126" y="142875"/>
          <a:ext cx="7762874" cy="1095375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295274</xdr:colOff>
      <xdr:row>5</xdr:row>
      <xdr:rowOff>19050</xdr:rowOff>
    </xdr:from>
    <xdr:to>
      <xdr:col>8</xdr:col>
      <xdr:colOff>590549</xdr:colOff>
      <xdr:row>5</xdr:row>
      <xdr:rowOff>152400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902C744-8D2C-4905-9221-387B536C2E0E}"/>
            </a:ext>
          </a:extLst>
        </xdr:cNvPr>
        <xdr:cNvSpPr/>
      </xdr:nvSpPr>
      <xdr:spPr>
        <a:xfrm>
          <a:off x="12106274" y="1514475"/>
          <a:ext cx="295275" cy="133350"/>
        </a:xfrm>
        <a:prstGeom prst="rect">
          <a:avLst/>
        </a:prstGeom>
        <a:solidFill>
          <a:srgbClr val="009900"/>
        </a:solidFill>
        <a:ln w="19050">
          <a:solidFill>
            <a:srgbClr val="00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295274</xdr:colOff>
      <xdr:row>6</xdr:row>
      <xdr:rowOff>19050</xdr:rowOff>
    </xdr:from>
    <xdr:to>
      <xdr:col>8</xdr:col>
      <xdr:colOff>600074</xdr:colOff>
      <xdr:row>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11F7B1B-DA09-4F27-BB09-46B1C5820C12}"/>
            </a:ext>
          </a:extLst>
        </xdr:cNvPr>
        <xdr:cNvSpPr/>
      </xdr:nvSpPr>
      <xdr:spPr>
        <a:xfrm>
          <a:off x="12106274" y="1704975"/>
          <a:ext cx="304800" cy="171450"/>
        </a:xfrm>
        <a:prstGeom prst="rect">
          <a:avLst/>
        </a:prstGeom>
        <a:noFill/>
        <a:ln w="19050">
          <a:solidFill>
            <a:srgbClr val="00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295274</xdr:colOff>
      <xdr:row>7</xdr:row>
      <xdr:rowOff>38100</xdr:rowOff>
    </xdr:from>
    <xdr:to>
      <xdr:col>8</xdr:col>
      <xdr:colOff>600074</xdr:colOff>
      <xdr:row>7</xdr:row>
      <xdr:rowOff>209550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6D9E725-D7AA-46AE-86E3-C3FCDA5FEC41}"/>
            </a:ext>
          </a:extLst>
        </xdr:cNvPr>
        <xdr:cNvSpPr/>
      </xdr:nvSpPr>
      <xdr:spPr>
        <a:xfrm>
          <a:off x="12106274" y="1924050"/>
          <a:ext cx="304800" cy="171450"/>
        </a:xfrm>
        <a:prstGeom prst="rect">
          <a:avLst/>
        </a:prstGeom>
        <a:noFill/>
        <a:ln w="19050">
          <a:solidFill>
            <a:srgbClr val="00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139700</xdr:colOff>
      <xdr:row>34</xdr:row>
      <xdr:rowOff>173566</xdr:rowOff>
    </xdr:from>
    <xdr:to>
      <xdr:col>13</xdr:col>
      <xdr:colOff>423334</xdr:colOff>
      <xdr:row>39</xdr:row>
      <xdr:rowOff>0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0E04503A-4E92-4FB0-9DA2-CC814262214C}"/>
            </a:ext>
          </a:extLst>
        </xdr:cNvPr>
        <xdr:cNvSpPr txBox="1"/>
      </xdr:nvSpPr>
      <xdr:spPr bwMode="auto">
        <a:xfrm>
          <a:off x="7702550" y="10832041"/>
          <a:ext cx="3122084" cy="792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400"/>
        </a:p>
        <a:p>
          <a:pPr algn="ctr"/>
          <a:r>
            <a:rPr lang="es-ES" sz="1600" b="1" i="1" spc="100" baseline="0">
              <a:latin typeface="Old English Text MT" panose="03040902040508030806" pitchFamily="66" charset="0"/>
              <a:cs typeface="Times New Roman" panose="02020603050405020304" pitchFamily="18" charset="0"/>
            </a:rPr>
            <a:t>Magister  CARLOS  DIAZ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10583</xdr:colOff>
      <xdr:row>0</xdr:row>
      <xdr:rowOff>153458</xdr:rowOff>
    </xdr:from>
    <xdr:ext cx="7461250" cy="10953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A099B3B4-3011-4521-936A-05E0C7DE36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9833" y="153458"/>
          <a:ext cx="7461250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10583</xdr:colOff>
      <xdr:row>0</xdr:row>
      <xdr:rowOff>153458</xdr:rowOff>
    </xdr:from>
    <xdr:ext cx="7461250" cy="10953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966BE89E-AB99-4347-8096-53F6DF12BB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008" y="153458"/>
          <a:ext cx="7461250" cy="109537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457201</xdr:colOff>
      <xdr:row>30</xdr:row>
      <xdr:rowOff>0</xdr:rowOff>
    </xdr:from>
    <xdr:to>
      <xdr:col>9</xdr:col>
      <xdr:colOff>0</xdr:colOff>
      <xdr:row>31</xdr:row>
      <xdr:rowOff>114300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7A77398A-0916-492F-8DDC-1D10BEFC4189}"/>
            </a:ext>
          </a:extLst>
        </xdr:cNvPr>
        <xdr:cNvSpPr txBox="1"/>
      </xdr:nvSpPr>
      <xdr:spPr bwMode="auto">
        <a:xfrm>
          <a:off x="5695951" y="7134225"/>
          <a:ext cx="1543049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400"/>
        </a:p>
        <a:p>
          <a:pPr algn="ctr"/>
          <a:r>
            <a:rPr lang="es-ES" sz="1200">
              <a:latin typeface="Times New Roman" panose="02020603050405020304" pitchFamily="18" charset="0"/>
              <a:cs typeface="Times New Roman" panose="02020603050405020304" pitchFamily="18" charset="0"/>
            </a:rPr>
            <a:t>.....................................................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10583</xdr:colOff>
      <xdr:row>0</xdr:row>
      <xdr:rowOff>153458</xdr:rowOff>
    </xdr:from>
    <xdr:ext cx="7461250" cy="10953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AF872A6-B220-44C1-8A6F-921C7910D8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008" y="153458"/>
          <a:ext cx="7461250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10583</xdr:colOff>
      <xdr:row>0</xdr:row>
      <xdr:rowOff>153458</xdr:rowOff>
    </xdr:from>
    <xdr:ext cx="7461250" cy="10953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F0676405-8536-4A4D-989C-749764338D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008" y="153458"/>
          <a:ext cx="7461250" cy="1095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view="pageBreakPreview" topLeftCell="A13" zoomScale="70" zoomScaleNormal="50" zoomScaleSheetLayoutView="70" workbookViewId="0">
      <selection activeCell="N17" sqref="N17"/>
    </sheetView>
  </sheetViews>
  <sheetFormatPr baseColWidth="10" defaultColWidth="11" defaultRowHeight="15"/>
  <cols>
    <col min="1" max="1" width="5.5703125" customWidth="1"/>
    <col min="2" max="2" width="46" customWidth="1"/>
    <col min="3" max="3" width="13.42578125" customWidth="1"/>
    <col min="4" max="5" width="7.140625" customWidth="1"/>
    <col min="6" max="6" width="7.28515625" customWidth="1"/>
    <col min="7" max="7" width="8.28515625" customWidth="1"/>
    <col min="8" max="8" width="5.85546875" customWidth="1"/>
    <col min="9" max="9" width="6.5703125" customWidth="1"/>
    <col min="10" max="10" width="6.140625" customWidth="1"/>
    <col min="11" max="11" width="5.5703125" customWidth="1"/>
    <col min="12" max="13" width="11.7109375" customWidth="1"/>
    <col min="14" max="14" width="9.42578125" customWidth="1"/>
    <col min="15" max="15" width="11.7109375" customWidth="1"/>
  </cols>
  <sheetData>
    <row r="1" spans="1:15" ht="27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22.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 ht="15.7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5" ht="15" customHeight="1">
      <c r="A4" s="63" t="s">
        <v>1</v>
      </c>
      <c r="B4" s="63"/>
      <c r="C4" s="90" t="s">
        <v>0</v>
      </c>
      <c r="F4" s="6" t="s">
        <v>2</v>
      </c>
      <c r="H4" s="7" t="s">
        <v>3</v>
      </c>
      <c r="I4" s="8"/>
      <c r="L4" s="84"/>
      <c r="M4" s="6"/>
      <c r="N4" s="7"/>
      <c r="O4" s="8"/>
    </row>
    <row r="5" spans="1:15" ht="15.75">
      <c r="A5" s="55" t="s">
        <v>10</v>
      </c>
      <c r="B5" s="55"/>
      <c r="C5" s="83" t="s">
        <v>93</v>
      </c>
      <c r="D5" s="83"/>
      <c r="E5" s="83"/>
      <c r="F5" s="84"/>
      <c r="H5" s="11" t="s">
        <v>4</v>
      </c>
      <c r="I5" s="8"/>
      <c r="M5" s="10"/>
      <c r="N5" s="11"/>
      <c r="O5" s="8"/>
    </row>
    <row r="6" spans="1:15" ht="19.5" customHeight="1" thickBot="1">
      <c r="A6" s="5" t="s">
        <v>11</v>
      </c>
      <c r="B6" s="9"/>
      <c r="C6" s="5" t="s">
        <v>9</v>
      </c>
      <c r="H6" s="12" t="s">
        <v>5</v>
      </c>
      <c r="I6" s="8"/>
      <c r="M6" s="10"/>
      <c r="N6" s="12"/>
      <c r="O6" s="8"/>
    </row>
    <row r="7" spans="1:15" ht="116.25" customHeight="1" thickBot="1">
      <c r="A7" s="13" t="s">
        <v>6</v>
      </c>
      <c r="B7" s="14" t="s">
        <v>7</v>
      </c>
      <c r="C7" s="95" t="s">
        <v>8</v>
      </c>
      <c r="D7" s="94" t="s">
        <v>87</v>
      </c>
      <c r="E7" s="47" t="s">
        <v>88</v>
      </c>
      <c r="F7" s="47" t="s">
        <v>89</v>
      </c>
      <c r="G7" s="96" t="s">
        <v>90</v>
      </c>
      <c r="H7" s="46" t="s">
        <v>24</v>
      </c>
      <c r="I7" s="28" t="s">
        <v>23</v>
      </c>
      <c r="J7" s="98" t="s">
        <v>91</v>
      </c>
      <c r="K7" s="28" t="s">
        <v>92</v>
      </c>
    </row>
    <row r="8" spans="1:15" ht="19.5">
      <c r="A8" s="21">
        <v>1</v>
      </c>
      <c r="B8" s="39" t="s">
        <v>56</v>
      </c>
      <c r="C8" s="44">
        <v>4231795</v>
      </c>
      <c r="D8" s="45">
        <v>6.9</v>
      </c>
      <c r="E8" s="45">
        <v>8.8000000000000007</v>
      </c>
      <c r="F8" s="45">
        <v>8.6</v>
      </c>
      <c r="G8" s="45">
        <v>50</v>
      </c>
      <c r="H8" s="52">
        <v>10</v>
      </c>
      <c r="I8" s="97">
        <f>D8+E8+F8+G8+H8</f>
        <v>84.3</v>
      </c>
      <c r="J8" s="93">
        <v>3</v>
      </c>
      <c r="K8" s="91" t="s">
        <v>83</v>
      </c>
    </row>
    <row r="9" spans="1:15" ht="19.5">
      <c r="A9" s="21">
        <v>2</v>
      </c>
      <c r="B9" s="39" t="s">
        <v>38</v>
      </c>
      <c r="C9" s="37">
        <v>6033732</v>
      </c>
      <c r="D9" s="36">
        <v>6.9</v>
      </c>
      <c r="E9" s="36">
        <v>9</v>
      </c>
      <c r="F9" s="36">
        <v>8.8000000000000007</v>
      </c>
      <c r="G9" s="45">
        <v>49</v>
      </c>
      <c r="H9" s="48">
        <v>10</v>
      </c>
      <c r="I9" s="97">
        <f>D9+E9+F9+G9+H9</f>
        <v>83.7</v>
      </c>
      <c r="J9" s="93">
        <v>3</v>
      </c>
      <c r="K9" s="91" t="s">
        <v>83</v>
      </c>
    </row>
    <row r="10" spans="1:15" ht="19.5">
      <c r="A10" s="17">
        <v>3</v>
      </c>
      <c r="B10" s="39" t="s">
        <v>59</v>
      </c>
      <c r="C10" s="37">
        <v>2475204</v>
      </c>
      <c r="D10" s="36">
        <v>7.8</v>
      </c>
      <c r="E10" s="36">
        <v>9.5500000000000007</v>
      </c>
      <c r="F10" s="36">
        <v>9.5</v>
      </c>
      <c r="G10" s="45">
        <v>60</v>
      </c>
      <c r="H10" s="48">
        <v>10</v>
      </c>
      <c r="I10" s="97">
        <f>D10+E10+F10+G10+H10</f>
        <v>96.85</v>
      </c>
      <c r="J10" s="93">
        <f t="shared" ref="J9:J29" si="0">I10/20</f>
        <v>4.8424999999999994</v>
      </c>
      <c r="K10" s="91" t="s">
        <v>85</v>
      </c>
    </row>
    <row r="11" spans="1:15" ht="19.5">
      <c r="A11" s="21">
        <v>4</v>
      </c>
      <c r="B11" s="40" t="s">
        <v>34</v>
      </c>
      <c r="C11" s="37">
        <v>2147143</v>
      </c>
      <c r="D11" s="36">
        <v>7.9</v>
      </c>
      <c r="E11" s="36">
        <v>8.0500000000000007</v>
      </c>
      <c r="F11" s="36">
        <v>8.5</v>
      </c>
      <c r="G11" s="45">
        <v>48</v>
      </c>
      <c r="H11" s="48">
        <v>10</v>
      </c>
      <c r="I11" s="97">
        <f>D11+E11+F11+G11+H11</f>
        <v>82.45</v>
      </c>
      <c r="J11" s="93">
        <v>3</v>
      </c>
      <c r="K11" s="92" t="s">
        <v>83</v>
      </c>
    </row>
    <row r="12" spans="1:15" ht="19.5">
      <c r="A12" s="25">
        <v>5</v>
      </c>
      <c r="B12" s="39" t="s">
        <v>60</v>
      </c>
      <c r="C12" s="37">
        <v>3767390</v>
      </c>
      <c r="D12" s="36">
        <v>8.5</v>
      </c>
      <c r="E12" s="36">
        <v>8.3000000000000007</v>
      </c>
      <c r="F12" s="36">
        <v>0</v>
      </c>
      <c r="G12" s="45">
        <v>49</v>
      </c>
      <c r="H12" s="48">
        <v>6</v>
      </c>
      <c r="I12" s="97">
        <f>D12+E12+F12+G12+H12</f>
        <v>71.8</v>
      </c>
      <c r="J12" s="93">
        <v>2</v>
      </c>
      <c r="K12" s="91" t="s">
        <v>84</v>
      </c>
    </row>
    <row r="13" spans="1:15" ht="19.5">
      <c r="A13" s="26">
        <v>6</v>
      </c>
      <c r="B13" s="39" t="s">
        <v>51</v>
      </c>
      <c r="C13" s="37">
        <v>1962014</v>
      </c>
      <c r="D13" s="36">
        <v>7.4</v>
      </c>
      <c r="E13" s="36">
        <v>8.1999999999999993</v>
      </c>
      <c r="F13" s="36">
        <v>8.3000000000000007</v>
      </c>
      <c r="G13" s="45">
        <v>51</v>
      </c>
      <c r="H13" s="48">
        <v>6</v>
      </c>
      <c r="I13" s="97">
        <f>D13+E13+F13+G13+H13</f>
        <v>80.900000000000006</v>
      </c>
      <c r="J13" s="93">
        <v>3</v>
      </c>
      <c r="K13" s="91" t="s">
        <v>83</v>
      </c>
    </row>
    <row r="14" spans="1:15" ht="19.5">
      <c r="A14" s="26">
        <v>7</v>
      </c>
      <c r="B14" s="39" t="s">
        <v>41</v>
      </c>
      <c r="C14" s="37">
        <v>4500446</v>
      </c>
      <c r="D14" s="36">
        <v>7.9</v>
      </c>
      <c r="E14" s="36">
        <v>8.5</v>
      </c>
      <c r="F14" s="36">
        <v>8.6</v>
      </c>
      <c r="G14" s="45">
        <v>48</v>
      </c>
      <c r="H14" s="48">
        <v>6</v>
      </c>
      <c r="I14" s="97">
        <f>D14+E14+F14+G14+H14</f>
        <v>79</v>
      </c>
      <c r="J14" s="93">
        <v>3</v>
      </c>
      <c r="K14" s="91" t="s">
        <v>83</v>
      </c>
    </row>
    <row r="15" spans="1:15" ht="19.5">
      <c r="A15" s="17">
        <v>8</v>
      </c>
      <c r="B15" s="39" t="s">
        <v>53</v>
      </c>
      <c r="C15" s="37">
        <v>4455174</v>
      </c>
      <c r="D15" s="36">
        <v>8</v>
      </c>
      <c r="E15" s="36">
        <v>8</v>
      </c>
      <c r="F15" s="36">
        <v>8.8000000000000007</v>
      </c>
      <c r="G15" s="45">
        <v>52</v>
      </c>
      <c r="H15" s="48">
        <v>10</v>
      </c>
      <c r="I15" s="97">
        <f>D15+E15+F15+G15+H15</f>
        <v>86.8</v>
      </c>
      <c r="J15" s="93">
        <f t="shared" si="0"/>
        <v>4.34</v>
      </c>
      <c r="K15" s="91" t="s">
        <v>86</v>
      </c>
    </row>
    <row r="16" spans="1:15" ht="19.5">
      <c r="A16" s="21">
        <v>9</v>
      </c>
      <c r="B16" s="56" t="s">
        <v>81</v>
      </c>
      <c r="C16" s="37">
        <v>2470709</v>
      </c>
      <c r="D16" s="36">
        <v>8</v>
      </c>
      <c r="E16" s="36">
        <v>8.5</v>
      </c>
      <c r="F16" s="36">
        <v>9.1</v>
      </c>
      <c r="G16" s="45">
        <v>54</v>
      </c>
      <c r="H16" s="48">
        <v>10</v>
      </c>
      <c r="I16" s="97">
        <f>D16+E16+F16+G16+H16</f>
        <v>89.6</v>
      </c>
      <c r="J16" s="93">
        <f t="shared" si="0"/>
        <v>4.4799999999999995</v>
      </c>
      <c r="K16" s="91" t="s">
        <v>86</v>
      </c>
    </row>
    <row r="17" spans="1:11" ht="19.5">
      <c r="A17" s="26">
        <v>10</v>
      </c>
      <c r="B17" s="39" t="s">
        <v>58</v>
      </c>
      <c r="C17" s="37">
        <v>3241637</v>
      </c>
      <c r="D17" s="36">
        <v>7.6</v>
      </c>
      <c r="E17" s="36">
        <v>8.25</v>
      </c>
      <c r="F17" s="36">
        <v>8.5</v>
      </c>
      <c r="G17" s="45">
        <v>59</v>
      </c>
      <c r="H17" s="48">
        <v>10</v>
      </c>
      <c r="I17" s="97">
        <f>D17+E17+F17+G17+H17</f>
        <v>93.35</v>
      </c>
      <c r="J17" s="93">
        <v>4</v>
      </c>
      <c r="K17" s="91" t="s">
        <v>86</v>
      </c>
    </row>
    <row r="18" spans="1:11" ht="19.5">
      <c r="A18" s="26">
        <v>11</v>
      </c>
      <c r="B18" s="39" t="s">
        <v>40</v>
      </c>
      <c r="C18" s="37">
        <v>1794829</v>
      </c>
      <c r="D18" s="36">
        <v>8.4</v>
      </c>
      <c r="E18" s="36">
        <v>7.8</v>
      </c>
      <c r="F18" s="36">
        <v>8.5</v>
      </c>
      <c r="G18" s="45">
        <v>47</v>
      </c>
      <c r="H18" s="48">
        <v>6</v>
      </c>
      <c r="I18" s="97">
        <f>D18+E18+F18+G18+H18</f>
        <v>77.7</v>
      </c>
      <c r="J18" s="93">
        <v>2</v>
      </c>
      <c r="K18" s="91" t="s">
        <v>84</v>
      </c>
    </row>
    <row r="19" spans="1:11" ht="19.5">
      <c r="A19" s="21">
        <v>12</v>
      </c>
      <c r="B19" s="39" t="s">
        <v>61</v>
      </c>
      <c r="C19" s="37">
        <v>1519201</v>
      </c>
      <c r="D19" s="36">
        <v>6</v>
      </c>
      <c r="E19" s="36">
        <v>8.1</v>
      </c>
      <c r="F19" s="36">
        <v>8.9</v>
      </c>
      <c r="G19" s="45">
        <v>52</v>
      </c>
      <c r="H19" s="48">
        <v>6</v>
      </c>
      <c r="I19" s="97">
        <f>D19+E19+F19+G19+H19</f>
        <v>81</v>
      </c>
      <c r="J19" s="93">
        <v>3</v>
      </c>
      <c r="K19" s="91" t="s">
        <v>83</v>
      </c>
    </row>
    <row r="20" spans="1:11" ht="19.5">
      <c r="A20" s="21">
        <v>13</v>
      </c>
      <c r="B20" s="39" t="s">
        <v>30</v>
      </c>
      <c r="C20" s="37">
        <v>4529420</v>
      </c>
      <c r="D20" s="36">
        <v>8.4</v>
      </c>
      <c r="E20" s="36">
        <v>7.8</v>
      </c>
      <c r="F20" s="36">
        <v>8.5</v>
      </c>
      <c r="G20" s="45">
        <v>47</v>
      </c>
      <c r="H20" s="48">
        <v>10</v>
      </c>
      <c r="I20" s="97">
        <f>D20+E20+F20+G20+H20</f>
        <v>81.7</v>
      </c>
      <c r="J20" s="93">
        <v>3</v>
      </c>
      <c r="K20" s="91" t="s">
        <v>83</v>
      </c>
    </row>
    <row r="21" spans="1:11" ht="19.5">
      <c r="A21" s="17">
        <v>14</v>
      </c>
      <c r="B21" s="39" t="s">
        <v>36</v>
      </c>
      <c r="C21" s="37">
        <v>3816266</v>
      </c>
      <c r="D21" s="36">
        <v>7.6</v>
      </c>
      <c r="E21" s="36">
        <v>8.5</v>
      </c>
      <c r="F21" s="36">
        <v>9.5</v>
      </c>
      <c r="G21" s="45">
        <v>51</v>
      </c>
      <c r="H21" s="48">
        <v>10</v>
      </c>
      <c r="I21" s="97">
        <f>D21+E21+F21+G21+H21</f>
        <v>86.6</v>
      </c>
      <c r="J21" s="93">
        <f t="shared" si="0"/>
        <v>4.33</v>
      </c>
      <c r="K21" s="91" t="s">
        <v>86</v>
      </c>
    </row>
    <row r="22" spans="1:11" ht="19.5">
      <c r="A22" s="17">
        <v>15</v>
      </c>
      <c r="B22" s="39" t="s">
        <v>33</v>
      </c>
      <c r="C22" s="37">
        <v>3653271</v>
      </c>
      <c r="D22" s="36">
        <v>9.1999999999999993</v>
      </c>
      <c r="E22" s="36">
        <v>9.75</v>
      </c>
      <c r="F22" s="36">
        <v>8.5</v>
      </c>
      <c r="G22" s="45">
        <v>58</v>
      </c>
      <c r="H22" s="48">
        <v>10</v>
      </c>
      <c r="I22" s="97">
        <f>D22+E22+F22+G22+H22</f>
        <v>95.45</v>
      </c>
      <c r="J22" s="93">
        <f t="shared" si="0"/>
        <v>4.7725</v>
      </c>
      <c r="K22" s="91" t="s">
        <v>85</v>
      </c>
    </row>
    <row r="23" spans="1:11" ht="19.5">
      <c r="A23" s="26">
        <v>16</v>
      </c>
      <c r="B23" s="41" t="s">
        <v>57</v>
      </c>
      <c r="C23" s="37">
        <v>1780890</v>
      </c>
      <c r="D23" s="36">
        <v>7.7</v>
      </c>
      <c r="E23" s="36">
        <v>9</v>
      </c>
      <c r="F23" s="36">
        <v>8.9</v>
      </c>
      <c r="G23" s="45">
        <v>54</v>
      </c>
      <c r="H23" s="48">
        <v>10</v>
      </c>
      <c r="I23" s="97">
        <f>D23+E23+F23+G23+H23</f>
        <v>89.6</v>
      </c>
      <c r="J23" s="93">
        <f t="shared" si="0"/>
        <v>4.4799999999999995</v>
      </c>
      <c r="K23" s="91" t="s">
        <v>86</v>
      </c>
    </row>
    <row r="24" spans="1:11" ht="19.5">
      <c r="A24" s="21">
        <v>17</v>
      </c>
      <c r="B24" s="39" t="s">
        <v>42</v>
      </c>
      <c r="C24" s="37">
        <v>5063541</v>
      </c>
      <c r="D24" s="36">
        <v>7.2</v>
      </c>
      <c r="E24" s="36">
        <v>8.15</v>
      </c>
      <c r="F24" s="36">
        <v>9.5</v>
      </c>
      <c r="G24" s="45">
        <v>52</v>
      </c>
      <c r="H24" s="48">
        <v>10</v>
      </c>
      <c r="I24" s="97">
        <f>D24+E24+F24+G24+H24</f>
        <v>86.85</v>
      </c>
      <c r="J24" s="93">
        <f t="shared" si="0"/>
        <v>4.3424999999999994</v>
      </c>
      <c r="K24" s="91" t="s">
        <v>86</v>
      </c>
    </row>
    <row r="25" spans="1:11" ht="19.5">
      <c r="A25" s="17">
        <v>18</v>
      </c>
      <c r="B25" s="39" t="s">
        <v>55</v>
      </c>
      <c r="C25" s="37">
        <v>2855587</v>
      </c>
      <c r="D25" s="36">
        <v>7.3</v>
      </c>
      <c r="E25" s="36">
        <v>8.35</v>
      </c>
      <c r="F25" s="36">
        <v>8.4</v>
      </c>
      <c r="G25" s="45">
        <v>53</v>
      </c>
      <c r="H25" s="48">
        <v>10</v>
      </c>
      <c r="I25" s="97">
        <f>D25+E25+F25+G25+H25</f>
        <v>87.05</v>
      </c>
      <c r="J25" s="93">
        <f t="shared" si="0"/>
        <v>4.3525</v>
      </c>
      <c r="K25" s="91" t="s">
        <v>86</v>
      </c>
    </row>
    <row r="26" spans="1:11" ht="19.5">
      <c r="A26" s="17">
        <v>19</v>
      </c>
      <c r="B26" s="39" t="s">
        <v>35</v>
      </c>
      <c r="C26" s="37">
        <v>5130549</v>
      </c>
      <c r="D26" s="36">
        <v>7.6</v>
      </c>
      <c r="E26" s="36">
        <v>8.5</v>
      </c>
      <c r="F26" s="36">
        <v>9.5</v>
      </c>
      <c r="G26" s="45">
        <v>51</v>
      </c>
      <c r="H26" s="48">
        <v>10</v>
      </c>
      <c r="I26" s="97">
        <f>D26+E26+F26+G26+H26</f>
        <v>86.6</v>
      </c>
      <c r="J26" s="93">
        <f t="shared" si="0"/>
        <v>4.33</v>
      </c>
      <c r="K26" s="91" t="s">
        <v>86</v>
      </c>
    </row>
    <row r="27" spans="1:11" ht="19.5">
      <c r="A27" s="17">
        <v>20</v>
      </c>
      <c r="B27" s="39" t="s">
        <v>52</v>
      </c>
      <c r="C27" s="37">
        <v>2897700</v>
      </c>
      <c r="D27" s="36">
        <v>8.4</v>
      </c>
      <c r="E27" s="36">
        <v>7.8</v>
      </c>
      <c r="F27" s="36">
        <v>8.5</v>
      </c>
      <c r="G27" s="45">
        <v>47</v>
      </c>
      <c r="H27" s="48">
        <v>10</v>
      </c>
      <c r="I27" s="97">
        <f>D27+E27+F27+G27+H27</f>
        <v>81.7</v>
      </c>
      <c r="J27" s="93">
        <v>3</v>
      </c>
      <c r="K27" s="91" t="s">
        <v>83</v>
      </c>
    </row>
    <row r="28" spans="1:11" ht="19.5">
      <c r="A28" s="17">
        <v>21</v>
      </c>
      <c r="B28" s="39" t="s">
        <v>54</v>
      </c>
      <c r="C28" s="37">
        <v>2010702</v>
      </c>
      <c r="D28" s="36">
        <v>7.9</v>
      </c>
      <c r="E28" s="36">
        <v>7.4</v>
      </c>
      <c r="F28" s="36">
        <v>0</v>
      </c>
      <c r="G28" s="45">
        <v>52</v>
      </c>
      <c r="H28" s="48">
        <v>6</v>
      </c>
      <c r="I28" s="97">
        <f>D28+E28+F28+G28+H28</f>
        <v>73.3</v>
      </c>
      <c r="J28" s="93">
        <v>2</v>
      </c>
      <c r="K28" s="91" t="s">
        <v>84</v>
      </c>
    </row>
    <row r="29" spans="1:11" ht="19.5">
      <c r="A29" s="21">
        <v>22</v>
      </c>
      <c r="B29" s="39" t="s">
        <v>27</v>
      </c>
      <c r="C29" s="37">
        <v>1303766</v>
      </c>
      <c r="D29" s="36">
        <v>7.6</v>
      </c>
      <c r="E29" s="36">
        <v>7.85</v>
      </c>
      <c r="F29" s="36">
        <v>8.9</v>
      </c>
      <c r="G29" s="45">
        <v>55</v>
      </c>
      <c r="H29" s="48">
        <v>10</v>
      </c>
      <c r="I29" s="97">
        <f>D29+E29+F29+G29+H29</f>
        <v>89.35</v>
      </c>
      <c r="J29" s="93">
        <f t="shared" si="0"/>
        <v>4.4674999999999994</v>
      </c>
      <c r="K29" s="91" t="s">
        <v>86</v>
      </c>
    </row>
  </sheetData>
  <mergeCells count="4">
    <mergeCell ref="A1:O1"/>
    <mergeCell ref="A2:O2"/>
    <mergeCell ref="A3:O3"/>
    <mergeCell ref="A4:B4"/>
  </mergeCells>
  <pageMargins left="0.31496062992125984" right="0.31496062992125984" top="0.35433070866141736" bottom="0.35433070866141736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413E-7624-4AD9-968D-9A73CEB45EDE}">
  <dimension ref="A1:P32"/>
  <sheetViews>
    <sheetView topLeftCell="B17" zoomScale="90" zoomScaleNormal="90" workbookViewId="0">
      <selection activeCell="G29" sqref="G29"/>
    </sheetView>
  </sheetViews>
  <sheetFormatPr baseColWidth="10" defaultColWidth="11" defaultRowHeight="15"/>
  <cols>
    <col min="1" max="1" width="5.28515625" customWidth="1"/>
    <col min="2" max="2" width="5.5703125" customWidth="1"/>
    <col min="3" max="3" width="51.85546875" customWidth="1"/>
    <col min="4" max="4" width="15" customWidth="1"/>
    <col min="5" max="5" width="8.5703125" customWidth="1"/>
    <col min="6" max="6" width="9.7109375" customWidth="1"/>
    <col min="7" max="7" width="7.7109375" customWidth="1"/>
    <col min="8" max="8" width="9.7109375" customWidth="1"/>
    <col min="9" max="12" width="7.7109375" customWidth="1"/>
    <col min="13" max="14" width="11.7109375" customWidth="1"/>
    <col min="15" max="15" width="9.42578125" customWidth="1"/>
    <col min="16" max="16" width="11.7109375" customWidth="1"/>
  </cols>
  <sheetData>
    <row r="1" spans="1:16" ht="27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22.5"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1:16" ht="15.7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>
      <c r="A4" s="1"/>
      <c r="B4" s="62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>
      <c r="A5" s="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21.75" customHeight="1">
      <c r="A6" s="1"/>
      <c r="B6" s="63" t="s">
        <v>1</v>
      </c>
      <c r="C6" s="63"/>
      <c r="D6" s="90" t="s">
        <v>0</v>
      </c>
      <c r="G6" s="6" t="s">
        <v>2</v>
      </c>
      <c r="H6" s="7" t="s">
        <v>3</v>
      </c>
      <c r="I6" s="8"/>
      <c r="L6" s="3"/>
      <c r="M6" s="3"/>
    </row>
    <row r="7" spans="1:16" ht="15" customHeight="1">
      <c r="A7" s="4"/>
      <c r="B7" s="55" t="s">
        <v>10</v>
      </c>
      <c r="C7" s="55"/>
      <c r="D7" s="83" t="s">
        <v>82</v>
      </c>
      <c r="E7" s="83"/>
      <c r="F7" s="83"/>
      <c r="G7" s="84"/>
      <c r="H7" s="11" t="s">
        <v>4</v>
      </c>
      <c r="I7" s="8"/>
      <c r="J7" s="84"/>
    </row>
    <row r="8" spans="1:16" ht="15.75">
      <c r="A8" s="4"/>
      <c r="B8" s="5" t="s">
        <v>11</v>
      </c>
      <c r="C8" s="9"/>
      <c r="D8" s="5" t="s">
        <v>9</v>
      </c>
      <c r="H8" s="12" t="s">
        <v>5</v>
      </c>
      <c r="I8" s="8"/>
      <c r="K8" s="10"/>
    </row>
    <row r="9" spans="1:16" ht="19.5" customHeight="1" thickBot="1">
      <c r="A9" s="4"/>
      <c r="E9" s="87" t="s">
        <v>24</v>
      </c>
      <c r="F9" s="88"/>
      <c r="G9" s="88"/>
      <c r="H9" s="88"/>
      <c r="I9" s="89"/>
      <c r="K9" s="10"/>
    </row>
    <row r="10" spans="1:16" ht="116.25" customHeight="1" thickBot="1">
      <c r="B10" s="13" t="s">
        <v>6</v>
      </c>
      <c r="C10" s="14" t="s">
        <v>7</v>
      </c>
      <c r="D10" s="13" t="s">
        <v>8</v>
      </c>
      <c r="E10" s="53" t="s">
        <v>14</v>
      </c>
      <c r="F10" s="53" t="s">
        <v>13</v>
      </c>
      <c r="G10" s="53" t="s">
        <v>21</v>
      </c>
      <c r="H10" s="53" t="s">
        <v>22</v>
      </c>
      <c r="I10" s="46" t="s">
        <v>44</v>
      </c>
    </row>
    <row r="11" spans="1:16" ht="19.5">
      <c r="B11" s="21">
        <v>1</v>
      </c>
      <c r="C11" s="39" t="s">
        <v>56</v>
      </c>
      <c r="D11" s="44">
        <v>4231795</v>
      </c>
      <c r="E11" s="29">
        <v>4</v>
      </c>
      <c r="F11" s="30">
        <v>2</v>
      </c>
      <c r="G11" s="30">
        <v>2</v>
      </c>
      <c r="H11" s="30">
        <v>2</v>
      </c>
      <c r="I11" s="52">
        <f>E11+F11+G11+H11</f>
        <v>10</v>
      </c>
    </row>
    <row r="12" spans="1:16" ht="19.5">
      <c r="B12" s="21">
        <v>2</v>
      </c>
      <c r="C12" s="39" t="s">
        <v>38</v>
      </c>
      <c r="D12" s="37">
        <v>6033732</v>
      </c>
      <c r="E12" s="29">
        <v>4</v>
      </c>
      <c r="F12" s="30">
        <v>2</v>
      </c>
      <c r="G12" s="30">
        <v>2</v>
      </c>
      <c r="H12" s="30">
        <v>2</v>
      </c>
      <c r="I12" s="48">
        <f>E12+F12+G12+H12</f>
        <v>10</v>
      </c>
    </row>
    <row r="13" spans="1:16" ht="19.5">
      <c r="B13" s="17">
        <v>3</v>
      </c>
      <c r="C13" s="39" t="s">
        <v>59</v>
      </c>
      <c r="D13" s="37">
        <v>2475204</v>
      </c>
      <c r="E13" s="29">
        <v>4</v>
      </c>
      <c r="F13" s="30">
        <v>2</v>
      </c>
      <c r="G13" s="30">
        <v>2</v>
      </c>
      <c r="H13" s="30">
        <v>2</v>
      </c>
      <c r="I13" s="48">
        <f>E13+F13+G13+H13</f>
        <v>10</v>
      </c>
    </row>
    <row r="14" spans="1:16" ht="19.5">
      <c r="B14" s="21">
        <v>4</v>
      </c>
      <c r="C14" s="40" t="s">
        <v>34</v>
      </c>
      <c r="D14" s="37">
        <v>2147143</v>
      </c>
      <c r="E14" s="29">
        <v>4</v>
      </c>
      <c r="F14" s="30">
        <v>2</v>
      </c>
      <c r="G14" s="30">
        <v>2</v>
      </c>
      <c r="H14" s="30">
        <v>2</v>
      </c>
      <c r="I14" s="48">
        <f>E14+F14+G14+H14</f>
        <v>10</v>
      </c>
    </row>
    <row r="15" spans="1:16" ht="19.5">
      <c r="B15" s="25">
        <v>5</v>
      </c>
      <c r="C15" s="39" t="s">
        <v>60</v>
      </c>
      <c r="D15" s="37">
        <v>3767390</v>
      </c>
      <c r="E15" s="29">
        <v>0</v>
      </c>
      <c r="F15" s="30">
        <v>2</v>
      </c>
      <c r="G15" s="30">
        <v>2</v>
      </c>
      <c r="H15" s="30">
        <v>2</v>
      </c>
      <c r="I15" s="48">
        <f>E15+F15+G15+H15</f>
        <v>6</v>
      </c>
    </row>
    <row r="16" spans="1:16" ht="19.5">
      <c r="B16" s="26">
        <v>6</v>
      </c>
      <c r="C16" s="39" t="s">
        <v>51</v>
      </c>
      <c r="D16" s="37">
        <v>1962014</v>
      </c>
      <c r="E16" s="29">
        <v>0</v>
      </c>
      <c r="F16" s="30">
        <v>2</v>
      </c>
      <c r="G16" s="30">
        <v>2</v>
      </c>
      <c r="H16" s="30">
        <v>2</v>
      </c>
      <c r="I16" s="48">
        <f>E16+F16+G16+H16</f>
        <v>6</v>
      </c>
    </row>
    <row r="17" spans="2:9" ht="19.5">
      <c r="B17" s="26">
        <v>7</v>
      </c>
      <c r="C17" s="39" t="s">
        <v>41</v>
      </c>
      <c r="D17" s="37">
        <v>4500446</v>
      </c>
      <c r="E17" s="29">
        <v>0</v>
      </c>
      <c r="F17" s="30">
        <v>2</v>
      </c>
      <c r="G17" s="30">
        <v>2</v>
      </c>
      <c r="H17" s="30">
        <v>2</v>
      </c>
      <c r="I17" s="48">
        <f>E17+F17+G17+H17</f>
        <v>6</v>
      </c>
    </row>
    <row r="18" spans="2:9" ht="19.5">
      <c r="B18" s="17">
        <v>8</v>
      </c>
      <c r="C18" s="39" t="s">
        <v>53</v>
      </c>
      <c r="D18" s="37">
        <v>4455174</v>
      </c>
      <c r="E18" s="29">
        <v>4</v>
      </c>
      <c r="F18" s="30">
        <v>2</v>
      </c>
      <c r="G18" s="30">
        <v>2</v>
      </c>
      <c r="H18" s="30">
        <v>2</v>
      </c>
      <c r="I18" s="48">
        <f>E18+F18+G18+H18</f>
        <v>10</v>
      </c>
    </row>
    <row r="19" spans="2:9" ht="19.5">
      <c r="B19" s="21">
        <v>9</v>
      </c>
      <c r="C19" s="56" t="s">
        <v>81</v>
      </c>
      <c r="D19" s="37">
        <v>2470709</v>
      </c>
      <c r="E19" s="29">
        <v>4</v>
      </c>
      <c r="F19" s="30">
        <v>2</v>
      </c>
      <c r="G19" s="30">
        <v>2</v>
      </c>
      <c r="H19" s="30">
        <v>2</v>
      </c>
      <c r="I19" s="48">
        <f>E19+F19+G19+H19</f>
        <v>10</v>
      </c>
    </row>
    <row r="20" spans="2:9" ht="19.5">
      <c r="B20" s="26">
        <v>10</v>
      </c>
      <c r="C20" s="39" t="s">
        <v>58</v>
      </c>
      <c r="D20" s="37">
        <v>3241637</v>
      </c>
      <c r="E20" s="29">
        <v>4</v>
      </c>
      <c r="F20" s="30">
        <v>2</v>
      </c>
      <c r="G20" s="30">
        <v>2</v>
      </c>
      <c r="H20" s="30">
        <v>2</v>
      </c>
      <c r="I20" s="48">
        <f>E20+F20+G20+H20</f>
        <v>10</v>
      </c>
    </row>
    <row r="21" spans="2:9" ht="19.5">
      <c r="B21" s="26">
        <v>11</v>
      </c>
      <c r="C21" s="39" t="s">
        <v>40</v>
      </c>
      <c r="D21" s="37">
        <v>1794829</v>
      </c>
      <c r="E21" s="29">
        <v>0</v>
      </c>
      <c r="F21" s="30">
        <v>2</v>
      </c>
      <c r="G21" s="30">
        <v>2</v>
      </c>
      <c r="H21" s="30">
        <v>2</v>
      </c>
      <c r="I21" s="48">
        <f>E21+F21+G21+H21</f>
        <v>6</v>
      </c>
    </row>
    <row r="22" spans="2:9" ht="19.5">
      <c r="B22" s="21">
        <v>12</v>
      </c>
      <c r="C22" s="39" t="s">
        <v>61</v>
      </c>
      <c r="D22" s="37">
        <v>1519201</v>
      </c>
      <c r="E22" s="29">
        <v>0</v>
      </c>
      <c r="F22" s="30">
        <v>2</v>
      </c>
      <c r="G22" s="30">
        <v>2</v>
      </c>
      <c r="H22" s="30">
        <v>2</v>
      </c>
      <c r="I22" s="48">
        <f>E22+F22+G22+H22</f>
        <v>6</v>
      </c>
    </row>
    <row r="23" spans="2:9" ht="19.5">
      <c r="B23" s="21">
        <v>13</v>
      </c>
      <c r="C23" s="39" t="s">
        <v>30</v>
      </c>
      <c r="D23" s="37">
        <v>4529420</v>
      </c>
      <c r="E23" s="29">
        <v>4</v>
      </c>
      <c r="F23" s="30">
        <v>2</v>
      </c>
      <c r="G23" s="30">
        <v>2</v>
      </c>
      <c r="H23" s="30">
        <v>2</v>
      </c>
      <c r="I23" s="48">
        <f>E23+F23+G23+H23</f>
        <v>10</v>
      </c>
    </row>
    <row r="24" spans="2:9" ht="19.5">
      <c r="B24" s="17">
        <v>14</v>
      </c>
      <c r="C24" s="39" t="s">
        <v>36</v>
      </c>
      <c r="D24" s="37">
        <v>3816266</v>
      </c>
      <c r="E24" s="29">
        <v>4</v>
      </c>
      <c r="F24" s="30">
        <v>2</v>
      </c>
      <c r="G24" s="30">
        <v>2</v>
      </c>
      <c r="H24" s="30">
        <v>2</v>
      </c>
      <c r="I24" s="48">
        <f>E24+F24+G24+H24</f>
        <v>10</v>
      </c>
    </row>
    <row r="25" spans="2:9" ht="19.5">
      <c r="B25" s="17">
        <v>15</v>
      </c>
      <c r="C25" s="39" t="s">
        <v>33</v>
      </c>
      <c r="D25" s="37">
        <v>3653271</v>
      </c>
      <c r="E25" s="29">
        <v>4</v>
      </c>
      <c r="F25" s="30">
        <v>2</v>
      </c>
      <c r="G25" s="30">
        <v>2</v>
      </c>
      <c r="H25" s="30">
        <v>2</v>
      </c>
      <c r="I25" s="48">
        <f>E25+F25+G25+H25</f>
        <v>10</v>
      </c>
    </row>
    <row r="26" spans="2:9" ht="19.5">
      <c r="B26" s="26">
        <v>16</v>
      </c>
      <c r="C26" s="41" t="s">
        <v>57</v>
      </c>
      <c r="D26" s="37">
        <v>1780890</v>
      </c>
      <c r="E26" s="29">
        <v>4</v>
      </c>
      <c r="F26" s="30">
        <v>2</v>
      </c>
      <c r="G26" s="30">
        <v>2</v>
      </c>
      <c r="H26" s="30">
        <v>2</v>
      </c>
      <c r="I26" s="48">
        <f>E26+F26+G26+H26</f>
        <v>10</v>
      </c>
    </row>
    <row r="27" spans="2:9" ht="19.5">
      <c r="B27" s="21">
        <v>17</v>
      </c>
      <c r="C27" s="39" t="s">
        <v>42</v>
      </c>
      <c r="D27" s="37">
        <v>5063541</v>
      </c>
      <c r="E27" s="29">
        <v>4</v>
      </c>
      <c r="F27" s="30">
        <v>2</v>
      </c>
      <c r="G27" s="30">
        <v>2</v>
      </c>
      <c r="H27" s="30">
        <v>2</v>
      </c>
      <c r="I27" s="48">
        <f>E27+F27+G27+H27</f>
        <v>10</v>
      </c>
    </row>
    <row r="28" spans="2:9" ht="19.5">
      <c r="B28" s="17">
        <v>18</v>
      </c>
      <c r="C28" s="39" t="s">
        <v>55</v>
      </c>
      <c r="D28" s="37">
        <v>2855587</v>
      </c>
      <c r="E28" s="29">
        <v>4</v>
      </c>
      <c r="F28" s="30">
        <v>2</v>
      </c>
      <c r="G28" s="30">
        <v>2</v>
      </c>
      <c r="H28" s="30">
        <v>2</v>
      </c>
      <c r="I28" s="48">
        <f>E28+F28+G28+H28</f>
        <v>10</v>
      </c>
    </row>
    <row r="29" spans="2:9" ht="19.5">
      <c r="B29" s="17">
        <v>19</v>
      </c>
      <c r="C29" s="39" t="s">
        <v>35</v>
      </c>
      <c r="D29" s="37">
        <v>5130549</v>
      </c>
      <c r="E29" s="29">
        <v>4</v>
      </c>
      <c r="F29" s="30">
        <v>2</v>
      </c>
      <c r="G29" s="30">
        <v>2</v>
      </c>
      <c r="H29" s="30">
        <v>2</v>
      </c>
      <c r="I29" s="48">
        <f>E29+F29+G29+H29</f>
        <v>10</v>
      </c>
    </row>
    <row r="30" spans="2:9" ht="19.5">
      <c r="B30" s="17">
        <v>20</v>
      </c>
      <c r="C30" s="39" t="s">
        <v>52</v>
      </c>
      <c r="D30" s="37">
        <v>2897700</v>
      </c>
      <c r="E30" s="29">
        <v>4</v>
      </c>
      <c r="F30" s="30">
        <v>2</v>
      </c>
      <c r="G30" s="30">
        <v>2</v>
      </c>
      <c r="H30" s="30">
        <v>2</v>
      </c>
      <c r="I30" s="48">
        <f>E30+F30+G30+H30</f>
        <v>10</v>
      </c>
    </row>
    <row r="31" spans="2:9" ht="19.5">
      <c r="B31" s="17">
        <v>21</v>
      </c>
      <c r="C31" s="39" t="s">
        <v>54</v>
      </c>
      <c r="D31" s="37">
        <v>2010702</v>
      </c>
      <c r="E31" s="29">
        <v>0</v>
      </c>
      <c r="F31" s="30">
        <v>2</v>
      </c>
      <c r="G31" s="30">
        <v>2</v>
      </c>
      <c r="H31" s="30">
        <v>2</v>
      </c>
      <c r="I31" s="48">
        <f>E31+F31+G31+H31</f>
        <v>6</v>
      </c>
    </row>
    <row r="32" spans="2:9" ht="20.25" thickBot="1">
      <c r="B32" s="21">
        <v>22</v>
      </c>
      <c r="C32" s="39" t="s">
        <v>27</v>
      </c>
      <c r="D32" s="37">
        <v>1303766</v>
      </c>
      <c r="E32" s="31">
        <v>4</v>
      </c>
      <c r="F32" s="32">
        <v>2</v>
      </c>
      <c r="G32" s="32">
        <v>2</v>
      </c>
      <c r="H32" s="32">
        <v>2</v>
      </c>
      <c r="I32" s="48">
        <f>E32+F32+G32+H32</f>
        <v>10</v>
      </c>
    </row>
  </sheetData>
  <mergeCells count="6">
    <mergeCell ref="E9:I9"/>
    <mergeCell ref="B6:C6"/>
    <mergeCell ref="B1:P1"/>
    <mergeCell ref="B2:P2"/>
    <mergeCell ref="B3:P3"/>
    <mergeCell ref="B4:P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A035-18BF-44C3-B1AE-D6CC69CBEA03}">
  <dimension ref="A1:I31"/>
  <sheetViews>
    <sheetView topLeftCell="A13" zoomScaleNormal="100" workbookViewId="0">
      <selection activeCell="H30" sqref="H30"/>
    </sheetView>
  </sheetViews>
  <sheetFormatPr baseColWidth="10" defaultColWidth="11" defaultRowHeight="15"/>
  <cols>
    <col min="1" max="1" width="5.28515625" customWidth="1"/>
    <col min="2" max="2" width="5.5703125" customWidth="1"/>
    <col min="3" max="3" width="36.42578125" customWidth="1"/>
    <col min="4" max="4" width="11.7109375" customWidth="1"/>
    <col min="5" max="5" width="9.140625" customWidth="1"/>
    <col min="6" max="6" width="10.42578125" customWidth="1"/>
    <col min="7" max="7" width="11.7109375" customWidth="1"/>
    <col min="8" max="8" width="8.5703125" customWidth="1"/>
    <col min="9" max="9" width="9.7109375" customWidth="1"/>
  </cols>
  <sheetData>
    <row r="1" spans="1:9" ht="27">
      <c r="B1" s="59"/>
      <c r="C1" s="59"/>
      <c r="D1" s="59"/>
      <c r="E1" s="59"/>
      <c r="F1" s="59"/>
      <c r="G1" s="59"/>
      <c r="H1" s="59"/>
      <c r="I1" s="59"/>
    </row>
    <row r="2" spans="1:9" ht="22.5">
      <c r="B2" s="60"/>
      <c r="C2" s="60"/>
      <c r="D2" s="60"/>
      <c r="E2" s="60"/>
      <c r="F2" s="60"/>
      <c r="G2" s="60"/>
      <c r="H2" s="60"/>
      <c r="I2" s="60"/>
    </row>
    <row r="3" spans="1:9" ht="15.75">
      <c r="B3" s="61"/>
      <c r="C3" s="61"/>
      <c r="D3" s="61"/>
      <c r="E3" s="61"/>
      <c r="F3" s="61"/>
      <c r="G3" s="61"/>
      <c r="H3" s="61"/>
      <c r="I3" s="61"/>
    </row>
    <row r="4" spans="1:9">
      <c r="A4" s="1"/>
      <c r="B4" s="62"/>
      <c r="C4" s="58"/>
      <c r="D4" s="58"/>
      <c r="E4" s="58"/>
      <c r="F4" s="58"/>
      <c r="G4" s="58"/>
      <c r="H4" s="58"/>
      <c r="I4" s="58"/>
    </row>
    <row r="5" spans="1:9">
      <c r="A5" s="1"/>
      <c r="B5" s="58"/>
      <c r="C5" s="58"/>
      <c r="D5" s="58"/>
      <c r="E5" s="58"/>
      <c r="F5" s="58"/>
      <c r="G5" s="58"/>
      <c r="H5" s="58"/>
      <c r="I5" s="58"/>
    </row>
    <row r="6" spans="1:9">
      <c r="A6" s="1"/>
      <c r="G6" s="2" t="s">
        <v>0</v>
      </c>
    </row>
    <row r="7" spans="1:9" ht="15" customHeight="1" thickBot="1">
      <c r="A7" s="4"/>
      <c r="B7" s="63" t="s">
        <v>1</v>
      </c>
      <c r="C7" s="64"/>
      <c r="D7" s="65" t="s">
        <v>12</v>
      </c>
      <c r="E7" s="58"/>
      <c r="F7" s="58"/>
      <c r="G7" s="58"/>
      <c r="H7" s="58"/>
      <c r="I7" s="6" t="s">
        <v>2</v>
      </c>
    </row>
    <row r="8" spans="1:9" ht="15.75">
      <c r="A8" s="4"/>
      <c r="B8" s="57" t="s">
        <v>10</v>
      </c>
      <c r="C8" s="58"/>
      <c r="D8" s="66" t="s">
        <v>15</v>
      </c>
      <c r="E8" s="67"/>
      <c r="F8" s="67"/>
      <c r="G8" s="67"/>
      <c r="H8" s="67"/>
      <c r="I8" s="68"/>
    </row>
    <row r="9" spans="1:9" ht="19.5" customHeight="1" thickBot="1">
      <c r="A9" s="4"/>
      <c r="B9" s="5" t="s">
        <v>11</v>
      </c>
      <c r="C9" s="9"/>
      <c r="D9" s="69"/>
      <c r="E9" s="70"/>
      <c r="F9" s="70"/>
      <c r="G9" s="70"/>
      <c r="H9" s="70"/>
      <c r="I9" s="71"/>
    </row>
    <row r="10" spans="1:9" ht="116.25" customHeight="1" thickBot="1">
      <c r="B10" s="13" t="s">
        <v>6</v>
      </c>
      <c r="C10" s="14" t="s">
        <v>7</v>
      </c>
      <c r="D10" s="15" t="s">
        <v>16</v>
      </c>
      <c r="E10" s="15" t="s">
        <v>17</v>
      </c>
      <c r="F10" s="15" t="s">
        <v>18</v>
      </c>
      <c r="G10" s="15" t="s">
        <v>19</v>
      </c>
      <c r="H10" s="16" t="s">
        <v>20</v>
      </c>
      <c r="I10" s="16" t="s">
        <v>45</v>
      </c>
    </row>
    <row r="11" spans="1:9">
      <c r="B11" s="17">
        <v>1</v>
      </c>
      <c r="C11" s="34" t="s">
        <v>26</v>
      </c>
      <c r="D11" s="19">
        <v>20</v>
      </c>
      <c r="E11" s="19">
        <v>17</v>
      </c>
      <c r="F11" s="19">
        <v>17</v>
      </c>
      <c r="G11" s="19">
        <v>15</v>
      </c>
      <c r="H11" s="19">
        <f t="shared" ref="H11:H27" si="0">D11+E11+F11+G11</f>
        <v>69</v>
      </c>
      <c r="I11" s="20">
        <f t="shared" ref="I11:I27" si="1">(H11*10)/100</f>
        <v>6.9</v>
      </c>
    </row>
    <row r="12" spans="1:9">
      <c r="B12" s="21">
        <v>2</v>
      </c>
      <c r="C12" s="34" t="s">
        <v>38</v>
      </c>
      <c r="D12" s="22">
        <v>18</v>
      </c>
      <c r="E12" s="22">
        <v>17</v>
      </c>
      <c r="F12" s="23">
        <v>19</v>
      </c>
      <c r="G12" s="23">
        <v>15</v>
      </c>
      <c r="H12" s="19">
        <f t="shared" si="0"/>
        <v>69</v>
      </c>
      <c r="I12" s="20">
        <f t="shared" si="1"/>
        <v>6.9</v>
      </c>
    </row>
    <row r="13" spans="1:9">
      <c r="B13" s="17">
        <v>3</v>
      </c>
      <c r="C13" s="34" t="s">
        <v>29</v>
      </c>
      <c r="D13" s="19">
        <v>20</v>
      </c>
      <c r="E13" s="19">
        <v>20</v>
      </c>
      <c r="F13" s="19">
        <v>20</v>
      </c>
      <c r="G13" s="19">
        <v>18</v>
      </c>
      <c r="H13" s="19">
        <f t="shared" si="0"/>
        <v>78</v>
      </c>
      <c r="I13" s="20">
        <f t="shared" si="1"/>
        <v>7.8</v>
      </c>
    </row>
    <row r="14" spans="1:9">
      <c r="B14" s="21">
        <v>4</v>
      </c>
      <c r="C14" s="35" t="s">
        <v>34</v>
      </c>
      <c r="D14" s="23">
        <v>20</v>
      </c>
      <c r="E14" s="23">
        <v>20</v>
      </c>
      <c r="F14" s="23">
        <v>20</v>
      </c>
      <c r="G14" s="24">
        <v>19</v>
      </c>
      <c r="H14" s="19">
        <f t="shared" si="0"/>
        <v>79</v>
      </c>
      <c r="I14" s="20">
        <f t="shared" si="1"/>
        <v>7.9</v>
      </c>
    </row>
    <row r="15" spans="1:9">
      <c r="B15" s="17">
        <v>5</v>
      </c>
      <c r="C15" s="34" t="s">
        <v>39</v>
      </c>
      <c r="D15" s="43">
        <v>20</v>
      </c>
      <c r="E15" s="43">
        <v>20</v>
      </c>
      <c r="F15" s="43">
        <v>20</v>
      </c>
      <c r="G15" s="43">
        <v>25</v>
      </c>
      <c r="H15" s="19">
        <f t="shared" si="0"/>
        <v>85</v>
      </c>
      <c r="I15" s="20">
        <f t="shared" si="1"/>
        <v>8.5</v>
      </c>
    </row>
    <row r="16" spans="1:9">
      <c r="B16" s="21">
        <v>6</v>
      </c>
      <c r="C16" s="34" t="s">
        <v>51</v>
      </c>
      <c r="D16" s="43">
        <v>18</v>
      </c>
      <c r="E16" s="43">
        <v>18</v>
      </c>
      <c r="F16" s="43">
        <v>18</v>
      </c>
      <c r="G16" s="43">
        <v>20</v>
      </c>
      <c r="H16" s="19">
        <f t="shared" si="0"/>
        <v>74</v>
      </c>
      <c r="I16" s="20">
        <f t="shared" si="1"/>
        <v>7.4</v>
      </c>
    </row>
    <row r="17" spans="2:9">
      <c r="B17" s="17">
        <v>7</v>
      </c>
      <c r="C17" s="34" t="s">
        <v>41</v>
      </c>
      <c r="D17" s="43">
        <v>21</v>
      </c>
      <c r="E17" s="43">
        <v>18</v>
      </c>
      <c r="F17" s="43">
        <v>21</v>
      </c>
      <c r="G17" s="43">
        <v>19</v>
      </c>
      <c r="H17" s="19">
        <f t="shared" si="0"/>
        <v>79</v>
      </c>
      <c r="I17" s="20">
        <f t="shared" si="1"/>
        <v>7.9</v>
      </c>
    </row>
    <row r="18" spans="2:9">
      <c r="B18" s="21">
        <v>8</v>
      </c>
      <c r="C18" s="34" t="s">
        <v>37</v>
      </c>
      <c r="D18" s="22">
        <v>20</v>
      </c>
      <c r="E18" s="22">
        <v>20</v>
      </c>
      <c r="F18" s="22">
        <v>20</v>
      </c>
      <c r="G18" s="22">
        <v>20</v>
      </c>
      <c r="H18" s="19">
        <f t="shared" si="0"/>
        <v>80</v>
      </c>
      <c r="I18" s="20">
        <f t="shared" si="1"/>
        <v>8</v>
      </c>
    </row>
    <row r="19" spans="2:9">
      <c r="B19" s="17">
        <v>9</v>
      </c>
      <c r="C19" s="34" t="s">
        <v>32</v>
      </c>
      <c r="D19" s="22">
        <v>20</v>
      </c>
      <c r="E19" s="22">
        <v>20</v>
      </c>
      <c r="F19" s="22">
        <v>18</v>
      </c>
      <c r="G19" s="22">
        <v>18</v>
      </c>
      <c r="H19" s="19">
        <f t="shared" si="0"/>
        <v>76</v>
      </c>
      <c r="I19" s="20">
        <f t="shared" si="1"/>
        <v>7.6</v>
      </c>
    </row>
    <row r="20" spans="2:9">
      <c r="B20" s="21">
        <v>10</v>
      </c>
      <c r="C20" s="34" t="s">
        <v>40</v>
      </c>
      <c r="D20" s="43">
        <v>21</v>
      </c>
      <c r="E20" s="43">
        <v>22</v>
      </c>
      <c r="F20" s="43">
        <v>21</v>
      </c>
      <c r="G20" s="43">
        <v>20</v>
      </c>
      <c r="H20" s="19">
        <f t="shared" si="0"/>
        <v>84</v>
      </c>
      <c r="I20" s="20">
        <f t="shared" si="1"/>
        <v>8.4</v>
      </c>
    </row>
    <row r="21" spans="2:9">
      <c r="B21" s="17">
        <v>11</v>
      </c>
      <c r="C21" s="34" t="s">
        <v>43</v>
      </c>
      <c r="D21" s="43">
        <v>15</v>
      </c>
      <c r="E21" s="43">
        <v>15</v>
      </c>
      <c r="F21" s="43">
        <v>15</v>
      </c>
      <c r="G21" s="43">
        <v>15</v>
      </c>
      <c r="H21" s="19">
        <f t="shared" si="0"/>
        <v>60</v>
      </c>
      <c r="I21" s="20">
        <f t="shared" si="1"/>
        <v>6</v>
      </c>
    </row>
    <row r="22" spans="2:9">
      <c r="B22" s="21">
        <v>12</v>
      </c>
      <c r="C22" s="34" t="s">
        <v>30</v>
      </c>
      <c r="D22" s="43">
        <v>21</v>
      </c>
      <c r="E22" s="43">
        <v>22</v>
      </c>
      <c r="F22" s="43">
        <v>21</v>
      </c>
      <c r="G22" s="43">
        <v>20</v>
      </c>
      <c r="H22" s="19">
        <f t="shared" si="0"/>
        <v>84</v>
      </c>
      <c r="I22" s="20">
        <f t="shared" si="1"/>
        <v>8.4</v>
      </c>
    </row>
    <row r="23" spans="2:9">
      <c r="B23" s="21">
        <v>13</v>
      </c>
      <c r="C23" s="34" t="s">
        <v>36</v>
      </c>
      <c r="D23" s="23">
        <v>18</v>
      </c>
      <c r="E23" s="23">
        <v>18</v>
      </c>
      <c r="F23" s="23">
        <v>18</v>
      </c>
      <c r="G23" s="23">
        <v>22</v>
      </c>
      <c r="H23" s="19">
        <f t="shared" si="0"/>
        <v>76</v>
      </c>
      <c r="I23" s="20">
        <f t="shared" si="1"/>
        <v>7.6</v>
      </c>
    </row>
    <row r="24" spans="2:9">
      <c r="B24" s="21">
        <v>14</v>
      </c>
      <c r="C24" s="34" t="s">
        <v>33</v>
      </c>
      <c r="D24" s="19">
        <v>23</v>
      </c>
      <c r="E24" s="19">
        <v>22</v>
      </c>
      <c r="F24" s="19">
        <v>22</v>
      </c>
      <c r="G24" s="19">
        <v>25</v>
      </c>
      <c r="H24" s="19">
        <f t="shared" si="0"/>
        <v>92</v>
      </c>
      <c r="I24" s="20">
        <f t="shared" si="1"/>
        <v>9.1999999999999993</v>
      </c>
    </row>
    <row r="25" spans="2:9">
      <c r="B25" s="21">
        <v>15</v>
      </c>
      <c r="C25" s="33" t="s">
        <v>25</v>
      </c>
      <c r="D25" s="22">
        <v>20</v>
      </c>
      <c r="E25" s="22">
        <v>20</v>
      </c>
      <c r="F25" s="22">
        <v>19</v>
      </c>
      <c r="G25" s="22">
        <v>18</v>
      </c>
      <c r="H25" s="19">
        <f t="shared" si="0"/>
        <v>77</v>
      </c>
      <c r="I25" s="20">
        <f t="shared" si="1"/>
        <v>7.7</v>
      </c>
    </row>
    <row r="26" spans="2:9">
      <c r="B26" s="21">
        <v>16</v>
      </c>
      <c r="C26" s="34" t="s">
        <v>42</v>
      </c>
      <c r="D26" s="23">
        <v>19</v>
      </c>
      <c r="E26" s="23">
        <v>18</v>
      </c>
      <c r="F26" s="23">
        <v>20</v>
      </c>
      <c r="G26" s="23">
        <v>15</v>
      </c>
      <c r="H26" s="19">
        <f t="shared" si="0"/>
        <v>72</v>
      </c>
      <c r="I26" s="20">
        <f t="shared" si="1"/>
        <v>7.2</v>
      </c>
    </row>
    <row r="27" spans="2:9">
      <c r="B27" s="21">
        <v>17</v>
      </c>
      <c r="C27" s="34" t="s">
        <v>28</v>
      </c>
      <c r="D27" s="22">
        <v>20</v>
      </c>
      <c r="E27" s="22">
        <v>19</v>
      </c>
      <c r="F27" s="22">
        <v>17</v>
      </c>
      <c r="G27" s="22">
        <v>17</v>
      </c>
      <c r="H27" s="19">
        <f t="shared" si="0"/>
        <v>73</v>
      </c>
      <c r="I27" s="20">
        <f t="shared" si="1"/>
        <v>7.3</v>
      </c>
    </row>
    <row r="28" spans="2:9">
      <c r="B28" s="21">
        <v>18</v>
      </c>
      <c r="C28" s="34" t="s">
        <v>35</v>
      </c>
      <c r="D28" s="23">
        <v>18</v>
      </c>
      <c r="E28" s="23">
        <v>18</v>
      </c>
      <c r="F28" s="23">
        <v>18</v>
      </c>
      <c r="G28" s="23">
        <v>22</v>
      </c>
      <c r="H28" s="19">
        <f t="shared" ref="H28:H30" si="2">D28+E28+F28+G28</f>
        <v>76</v>
      </c>
      <c r="I28" s="20">
        <f t="shared" ref="I28" si="3">(H28*10)/100</f>
        <v>7.6</v>
      </c>
    </row>
    <row r="29" spans="2:9">
      <c r="B29" s="21">
        <v>19</v>
      </c>
      <c r="C29" s="34" t="s">
        <v>31</v>
      </c>
      <c r="D29" s="43">
        <v>21</v>
      </c>
      <c r="E29" s="43">
        <v>22</v>
      </c>
      <c r="F29" s="43">
        <v>21</v>
      </c>
      <c r="G29" s="43">
        <v>20</v>
      </c>
      <c r="H29" s="19">
        <f t="shared" si="2"/>
        <v>84</v>
      </c>
      <c r="I29" s="20">
        <f>(H29*10)/100</f>
        <v>8.4</v>
      </c>
    </row>
    <row r="30" spans="2:9">
      <c r="B30" s="21">
        <v>20</v>
      </c>
      <c r="C30" s="34" t="s">
        <v>54</v>
      </c>
      <c r="D30" s="43">
        <v>18</v>
      </c>
      <c r="E30" s="43">
        <v>20</v>
      </c>
      <c r="F30" s="43">
        <v>19</v>
      </c>
      <c r="G30" s="43">
        <v>22</v>
      </c>
      <c r="H30" s="19">
        <f t="shared" si="2"/>
        <v>79</v>
      </c>
      <c r="I30" s="20">
        <f>(H30*10)/100</f>
        <v>7.9</v>
      </c>
    </row>
    <row r="31" spans="2:9">
      <c r="B31" s="21">
        <v>21</v>
      </c>
      <c r="C31" s="34" t="s">
        <v>27</v>
      </c>
      <c r="D31" s="22">
        <v>18</v>
      </c>
      <c r="E31" s="22">
        <v>19</v>
      </c>
      <c r="F31" s="22">
        <v>19</v>
      </c>
      <c r="G31" s="22">
        <v>20</v>
      </c>
      <c r="H31" s="23">
        <f>D31+E31+F31+G31</f>
        <v>76</v>
      </c>
      <c r="I31" s="24">
        <f>(H31*10)/100</f>
        <v>7.6</v>
      </c>
    </row>
  </sheetData>
  <mergeCells count="8">
    <mergeCell ref="B8:C8"/>
    <mergeCell ref="D8:I9"/>
    <mergeCell ref="B1:I1"/>
    <mergeCell ref="B2:I2"/>
    <mergeCell ref="B3:I3"/>
    <mergeCell ref="B4:I5"/>
    <mergeCell ref="B7:C7"/>
    <mergeCell ref="D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A27D-831F-477E-80E1-9FABA79097D1}">
  <dimension ref="A1:I31"/>
  <sheetViews>
    <sheetView topLeftCell="C9" zoomScaleNormal="100" workbookViewId="0">
      <selection activeCell="H15" sqref="H15"/>
    </sheetView>
  </sheetViews>
  <sheetFormatPr baseColWidth="10" defaultColWidth="11" defaultRowHeight="15"/>
  <cols>
    <col min="1" max="1" width="5.28515625" customWidth="1"/>
    <col min="2" max="2" width="5.5703125" customWidth="1"/>
    <col min="3" max="3" width="43.5703125" customWidth="1"/>
    <col min="4" max="4" width="11.7109375" customWidth="1"/>
    <col min="5" max="5" width="9.140625" customWidth="1"/>
    <col min="6" max="6" width="10.42578125" customWidth="1"/>
    <col min="7" max="7" width="11.7109375" customWidth="1"/>
    <col min="8" max="8" width="8.5703125" customWidth="1"/>
    <col min="9" max="9" width="9.7109375" customWidth="1"/>
  </cols>
  <sheetData>
    <row r="1" spans="1:9" ht="27">
      <c r="B1" s="59"/>
      <c r="C1" s="59"/>
      <c r="D1" s="59"/>
      <c r="E1" s="59"/>
      <c r="F1" s="59"/>
      <c r="G1" s="59"/>
      <c r="H1" s="59"/>
      <c r="I1" s="59"/>
    </row>
    <row r="2" spans="1:9" ht="22.5">
      <c r="B2" s="60"/>
      <c r="C2" s="60"/>
      <c r="D2" s="60"/>
      <c r="E2" s="60"/>
      <c r="F2" s="60"/>
      <c r="G2" s="60"/>
      <c r="H2" s="60"/>
      <c r="I2" s="60"/>
    </row>
    <row r="3" spans="1:9" ht="15.75">
      <c r="B3" s="61"/>
      <c r="C3" s="61"/>
      <c r="D3" s="61"/>
      <c r="E3" s="61"/>
      <c r="F3" s="61"/>
      <c r="G3" s="61"/>
      <c r="H3" s="61"/>
      <c r="I3" s="61"/>
    </row>
    <row r="4" spans="1:9">
      <c r="A4" s="1"/>
      <c r="B4" s="62"/>
      <c r="C4" s="58"/>
      <c r="D4" s="58"/>
      <c r="E4" s="58"/>
      <c r="F4" s="58"/>
      <c r="G4" s="58"/>
      <c r="H4" s="58"/>
      <c r="I4" s="58"/>
    </row>
    <row r="5" spans="1:9">
      <c r="A5" s="1"/>
      <c r="B5" s="58"/>
      <c r="C5" s="58"/>
      <c r="D5" s="58"/>
      <c r="E5" s="58"/>
      <c r="F5" s="58"/>
      <c r="G5" s="58"/>
      <c r="H5" s="58"/>
      <c r="I5" s="58"/>
    </row>
    <row r="6" spans="1:9">
      <c r="A6" s="1"/>
      <c r="G6" s="2" t="s">
        <v>0</v>
      </c>
    </row>
    <row r="7" spans="1:9" ht="15" customHeight="1" thickBot="1">
      <c r="A7" s="4"/>
      <c r="B7" s="63" t="s">
        <v>1</v>
      </c>
      <c r="C7" s="64"/>
      <c r="D7" s="65" t="s">
        <v>12</v>
      </c>
      <c r="E7" s="58"/>
      <c r="F7" s="58"/>
      <c r="G7" s="58"/>
      <c r="H7" s="58"/>
      <c r="I7" s="6" t="s">
        <v>2</v>
      </c>
    </row>
    <row r="8" spans="1:9" ht="15.75" customHeight="1">
      <c r="A8" s="4"/>
      <c r="B8" s="57" t="s">
        <v>10</v>
      </c>
      <c r="C8" s="58"/>
      <c r="D8" s="66" t="s">
        <v>64</v>
      </c>
      <c r="E8" s="67"/>
      <c r="F8" s="67"/>
      <c r="G8" s="67"/>
      <c r="H8" s="67"/>
      <c r="I8" s="68"/>
    </row>
    <row r="9" spans="1:9" ht="19.5" customHeight="1" thickBot="1">
      <c r="A9" s="4"/>
      <c r="B9" s="5" t="s">
        <v>11</v>
      </c>
      <c r="C9" s="9"/>
      <c r="D9" s="69"/>
      <c r="E9" s="70"/>
      <c r="F9" s="70"/>
      <c r="G9" s="70"/>
      <c r="H9" s="70"/>
      <c r="I9" s="71"/>
    </row>
    <row r="10" spans="1:9" ht="116.25" customHeight="1" thickBot="1">
      <c r="B10" s="13" t="s">
        <v>6</v>
      </c>
      <c r="C10" s="14" t="s">
        <v>7</v>
      </c>
      <c r="D10" s="38" t="s">
        <v>47</v>
      </c>
      <c r="E10" s="38" t="s">
        <v>48</v>
      </c>
      <c r="F10" s="38" t="s">
        <v>49</v>
      </c>
      <c r="G10" s="38" t="s">
        <v>50</v>
      </c>
      <c r="H10" s="16" t="s">
        <v>46</v>
      </c>
      <c r="I10" s="16" t="s">
        <v>45</v>
      </c>
    </row>
    <row r="11" spans="1:9">
      <c r="B11" s="17">
        <v>1</v>
      </c>
      <c r="C11" s="34" t="s">
        <v>26</v>
      </c>
      <c r="D11" s="22">
        <v>42</v>
      </c>
      <c r="E11" s="22">
        <v>46</v>
      </c>
      <c r="F11" s="22">
        <v>43</v>
      </c>
      <c r="G11" s="22">
        <v>45</v>
      </c>
      <c r="H11" s="18">
        <f>D11+E11+F11+G11</f>
        <v>176</v>
      </c>
      <c r="I11" s="20">
        <f>H11/20</f>
        <v>8.8000000000000007</v>
      </c>
    </row>
    <row r="12" spans="1:9">
      <c r="B12" s="21">
        <v>2</v>
      </c>
      <c r="C12" s="34" t="s">
        <v>38</v>
      </c>
      <c r="D12" s="18">
        <v>45</v>
      </c>
      <c r="E12" s="18">
        <v>40</v>
      </c>
      <c r="F12" s="18">
        <v>45</v>
      </c>
      <c r="G12" s="19">
        <v>50</v>
      </c>
      <c r="H12" s="18">
        <f t="shared" ref="H12:H31" si="0">D12+E12+F12+G12</f>
        <v>180</v>
      </c>
      <c r="I12" s="20">
        <f t="shared" ref="I12:I31" si="1">H12/20</f>
        <v>9</v>
      </c>
    </row>
    <row r="13" spans="1:9">
      <c r="B13" s="17">
        <v>3</v>
      </c>
      <c r="C13" s="34" t="s">
        <v>29</v>
      </c>
      <c r="D13" s="22">
        <v>46</v>
      </c>
      <c r="E13" s="22">
        <v>47</v>
      </c>
      <c r="F13" s="22">
        <v>48</v>
      </c>
      <c r="G13" s="22">
        <v>50</v>
      </c>
      <c r="H13" s="18">
        <f t="shared" si="0"/>
        <v>191</v>
      </c>
      <c r="I13" s="20">
        <f t="shared" si="1"/>
        <v>9.5500000000000007</v>
      </c>
    </row>
    <row r="14" spans="1:9">
      <c r="B14" s="21">
        <v>4</v>
      </c>
      <c r="C14" s="35" t="s">
        <v>34</v>
      </c>
      <c r="D14" s="22">
        <v>42</v>
      </c>
      <c r="E14" s="22">
        <v>41</v>
      </c>
      <c r="F14" s="22">
        <v>38</v>
      </c>
      <c r="G14" s="22">
        <v>40</v>
      </c>
      <c r="H14" s="18">
        <f t="shared" si="0"/>
        <v>161</v>
      </c>
      <c r="I14" s="20">
        <f t="shared" si="1"/>
        <v>8.0500000000000007</v>
      </c>
    </row>
    <row r="15" spans="1:9">
      <c r="B15" s="17">
        <v>5</v>
      </c>
      <c r="C15" s="34" t="s">
        <v>39</v>
      </c>
      <c r="D15" s="18">
        <v>43</v>
      </c>
      <c r="E15" s="18">
        <v>45</v>
      </c>
      <c r="F15" s="18">
        <v>38</v>
      </c>
      <c r="G15" s="18">
        <v>40</v>
      </c>
      <c r="H15" s="18">
        <f t="shared" si="0"/>
        <v>166</v>
      </c>
      <c r="I15" s="20">
        <f t="shared" si="1"/>
        <v>8.3000000000000007</v>
      </c>
    </row>
    <row r="16" spans="1:9">
      <c r="B16" s="21">
        <v>6</v>
      </c>
      <c r="C16" s="34" t="s">
        <v>51</v>
      </c>
      <c r="D16" s="18">
        <v>38</v>
      </c>
      <c r="E16" s="18">
        <v>38</v>
      </c>
      <c r="F16" s="18">
        <v>45</v>
      </c>
      <c r="G16" s="18">
        <v>43</v>
      </c>
      <c r="H16" s="18">
        <f t="shared" si="0"/>
        <v>164</v>
      </c>
      <c r="I16" s="20">
        <f t="shared" si="1"/>
        <v>8.1999999999999993</v>
      </c>
    </row>
    <row r="17" spans="2:9">
      <c r="B17" s="17">
        <v>7</v>
      </c>
      <c r="C17" s="34" t="s">
        <v>41</v>
      </c>
      <c r="D17" s="27">
        <v>42</v>
      </c>
      <c r="E17" s="27">
        <v>42</v>
      </c>
      <c r="F17" s="27">
        <v>41</v>
      </c>
      <c r="G17" s="27">
        <v>45</v>
      </c>
      <c r="H17" s="18">
        <f t="shared" si="0"/>
        <v>170</v>
      </c>
      <c r="I17" s="20">
        <f t="shared" si="1"/>
        <v>8.5</v>
      </c>
    </row>
    <row r="18" spans="2:9">
      <c r="B18" s="21">
        <v>8</v>
      </c>
      <c r="C18" s="34" t="s">
        <v>37</v>
      </c>
      <c r="D18" s="22">
        <v>40</v>
      </c>
      <c r="E18" s="22">
        <v>40</v>
      </c>
      <c r="F18" s="22">
        <v>40</v>
      </c>
      <c r="G18" s="22">
        <v>40</v>
      </c>
      <c r="H18" s="18">
        <f t="shared" si="0"/>
        <v>160</v>
      </c>
      <c r="I18" s="20">
        <f t="shared" si="1"/>
        <v>8</v>
      </c>
    </row>
    <row r="19" spans="2:9">
      <c r="B19" s="17">
        <v>9</v>
      </c>
      <c r="C19" s="34" t="s">
        <v>32</v>
      </c>
      <c r="D19" s="18">
        <v>43</v>
      </c>
      <c r="E19" s="18">
        <v>42</v>
      </c>
      <c r="F19" s="18">
        <v>40</v>
      </c>
      <c r="G19" s="18">
        <v>40</v>
      </c>
      <c r="H19" s="18">
        <f t="shared" si="0"/>
        <v>165</v>
      </c>
      <c r="I19" s="20">
        <f t="shared" si="1"/>
        <v>8.25</v>
      </c>
    </row>
    <row r="20" spans="2:9">
      <c r="B20" s="21">
        <v>10</v>
      </c>
      <c r="C20" s="34" t="s">
        <v>40</v>
      </c>
      <c r="D20" s="42">
        <v>41</v>
      </c>
      <c r="E20" s="42">
        <v>37</v>
      </c>
      <c r="F20" s="42">
        <v>38</v>
      </c>
      <c r="G20" s="42">
        <v>40</v>
      </c>
      <c r="H20" s="18">
        <f t="shared" si="0"/>
        <v>156</v>
      </c>
      <c r="I20" s="20">
        <f t="shared" si="1"/>
        <v>7.8</v>
      </c>
    </row>
    <row r="21" spans="2:9">
      <c r="B21" s="17">
        <v>11</v>
      </c>
      <c r="C21" s="34" t="s">
        <v>43</v>
      </c>
      <c r="D21" s="27">
        <v>38</v>
      </c>
      <c r="E21" s="27">
        <v>41</v>
      </c>
      <c r="F21" s="27">
        <v>43</v>
      </c>
      <c r="G21" s="27">
        <v>40</v>
      </c>
      <c r="H21" s="18">
        <f t="shared" si="0"/>
        <v>162</v>
      </c>
      <c r="I21" s="20">
        <f t="shared" si="1"/>
        <v>8.1</v>
      </c>
    </row>
    <row r="22" spans="2:9">
      <c r="B22" s="21">
        <v>12</v>
      </c>
      <c r="C22" s="34" t="s">
        <v>30</v>
      </c>
      <c r="D22" s="42">
        <v>41</v>
      </c>
      <c r="E22" s="42">
        <v>37</v>
      </c>
      <c r="F22" s="42">
        <v>38</v>
      </c>
      <c r="G22" s="42">
        <v>40</v>
      </c>
      <c r="H22" s="18">
        <f t="shared" si="0"/>
        <v>156</v>
      </c>
      <c r="I22" s="20">
        <f t="shared" si="1"/>
        <v>7.8</v>
      </c>
    </row>
    <row r="23" spans="2:9">
      <c r="B23" s="21">
        <v>13</v>
      </c>
      <c r="C23" s="34" t="s">
        <v>36</v>
      </c>
      <c r="D23" s="22">
        <v>40</v>
      </c>
      <c r="E23" s="22">
        <v>40</v>
      </c>
      <c r="F23" s="22">
        <v>40</v>
      </c>
      <c r="G23" s="22">
        <v>50</v>
      </c>
      <c r="H23" s="18">
        <f t="shared" si="0"/>
        <v>170</v>
      </c>
      <c r="I23" s="20">
        <f t="shared" si="1"/>
        <v>8.5</v>
      </c>
    </row>
    <row r="24" spans="2:9">
      <c r="B24" s="21">
        <v>14</v>
      </c>
      <c r="C24" s="34" t="s">
        <v>33</v>
      </c>
      <c r="D24" s="22">
        <v>47</v>
      </c>
      <c r="E24" s="22">
        <v>48</v>
      </c>
      <c r="F24" s="23">
        <v>50</v>
      </c>
      <c r="G24" s="23">
        <v>50</v>
      </c>
      <c r="H24" s="18">
        <f t="shared" si="0"/>
        <v>195</v>
      </c>
      <c r="I24" s="20">
        <f t="shared" si="1"/>
        <v>9.75</v>
      </c>
    </row>
    <row r="25" spans="2:9">
      <c r="B25" s="21">
        <v>15</v>
      </c>
      <c r="C25" s="33" t="s">
        <v>25</v>
      </c>
      <c r="D25" s="42">
        <v>50</v>
      </c>
      <c r="E25" s="42">
        <v>50</v>
      </c>
      <c r="F25" s="42">
        <v>41</v>
      </c>
      <c r="G25" s="42">
        <v>39</v>
      </c>
      <c r="H25" s="18">
        <f t="shared" si="0"/>
        <v>180</v>
      </c>
      <c r="I25" s="20">
        <f t="shared" si="1"/>
        <v>9</v>
      </c>
    </row>
    <row r="26" spans="2:9">
      <c r="B26" s="21">
        <v>16</v>
      </c>
      <c r="C26" s="34" t="s">
        <v>42</v>
      </c>
      <c r="D26" s="42">
        <v>38</v>
      </c>
      <c r="E26" s="42">
        <v>40</v>
      </c>
      <c r="F26" s="42">
        <v>45</v>
      </c>
      <c r="G26" s="42">
        <v>40</v>
      </c>
      <c r="H26" s="18">
        <f t="shared" si="0"/>
        <v>163</v>
      </c>
      <c r="I26" s="20">
        <f t="shared" si="1"/>
        <v>8.15</v>
      </c>
    </row>
    <row r="27" spans="2:9">
      <c r="B27" s="21">
        <v>17</v>
      </c>
      <c r="C27" s="34" t="s">
        <v>28</v>
      </c>
      <c r="D27" s="42">
        <v>43</v>
      </c>
      <c r="E27" s="42">
        <v>42</v>
      </c>
      <c r="F27" s="42">
        <v>42</v>
      </c>
      <c r="G27" s="42">
        <v>40</v>
      </c>
      <c r="H27" s="18">
        <f t="shared" si="0"/>
        <v>167</v>
      </c>
      <c r="I27" s="20">
        <f t="shared" si="1"/>
        <v>8.35</v>
      </c>
    </row>
    <row r="28" spans="2:9">
      <c r="B28" s="21">
        <v>18</v>
      </c>
      <c r="C28" s="34" t="s">
        <v>35</v>
      </c>
      <c r="D28" s="22">
        <v>40</v>
      </c>
      <c r="E28" s="22">
        <v>40</v>
      </c>
      <c r="F28" s="22">
        <v>40</v>
      </c>
      <c r="G28" s="22">
        <v>50</v>
      </c>
      <c r="H28" s="18">
        <f t="shared" si="0"/>
        <v>170</v>
      </c>
      <c r="I28" s="20">
        <f t="shared" si="1"/>
        <v>8.5</v>
      </c>
    </row>
    <row r="29" spans="2:9">
      <c r="B29" s="21">
        <v>19</v>
      </c>
      <c r="C29" s="34" t="s">
        <v>31</v>
      </c>
      <c r="D29" s="42">
        <v>41</v>
      </c>
      <c r="E29" s="42">
        <v>37</v>
      </c>
      <c r="F29" s="42">
        <v>38</v>
      </c>
      <c r="G29" s="42">
        <v>40</v>
      </c>
      <c r="H29" s="18">
        <f t="shared" si="0"/>
        <v>156</v>
      </c>
      <c r="I29" s="20">
        <f t="shared" si="1"/>
        <v>7.8</v>
      </c>
    </row>
    <row r="30" spans="2:9">
      <c r="B30" s="21">
        <v>20</v>
      </c>
      <c r="C30" s="34" t="s">
        <v>54</v>
      </c>
      <c r="D30" s="42">
        <v>38</v>
      </c>
      <c r="E30" s="42">
        <v>35</v>
      </c>
      <c r="F30" s="42">
        <v>33</v>
      </c>
      <c r="G30" s="42">
        <v>42</v>
      </c>
      <c r="H30" s="18">
        <f t="shared" ref="H30" si="2">D30+E30+F30+G30</f>
        <v>148</v>
      </c>
      <c r="I30" s="20">
        <f t="shared" si="1"/>
        <v>7.4</v>
      </c>
    </row>
    <row r="31" spans="2:9">
      <c r="B31" s="21">
        <v>21</v>
      </c>
      <c r="C31" s="34" t="s">
        <v>27</v>
      </c>
      <c r="D31" s="42">
        <v>41</v>
      </c>
      <c r="E31" s="42">
        <v>38</v>
      </c>
      <c r="F31" s="42">
        <v>38</v>
      </c>
      <c r="G31" s="42">
        <v>40</v>
      </c>
      <c r="H31" s="18">
        <f t="shared" si="0"/>
        <v>157</v>
      </c>
      <c r="I31" s="20">
        <f t="shared" si="1"/>
        <v>7.85</v>
      </c>
    </row>
  </sheetData>
  <mergeCells count="8">
    <mergeCell ref="B8:C8"/>
    <mergeCell ref="D8:I9"/>
    <mergeCell ref="B1:I1"/>
    <mergeCell ref="B2:I2"/>
    <mergeCell ref="B3:I3"/>
    <mergeCell ref="B4:I5"/>
    <mergeCell ref="B7:C7"/>
    <mergeCell ref="D7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1E13-8FAE-4EE8-88F5-1DE0E1449556}">
  <dimension ref="A1:G32"/>
  <sheetViews>
    <sheetView topLeftCell="A4" zoomScale="60" zoomScaleNormal="60" workbookViewId="0">
      <selection activeCell="D8" sqref="D8:G10"/>
    </sheetView>
  </sheetViews>
  <sheetFormatPr baseColWidth="10" defaultColWidth="11" defaultRowHeight="15"/>
  <cols>
    <col min="1" max="1" width="5.28515625" customWidth="1"/>
    <col min="2" max="2" width="5.5703125" customWidth="1"/>
    <col min="3" max="3" width="43.5703125" customWidth="1"/>
    <col min="4" max="4" width="11.7109375" customWidth="1"/>
    <col min="5" max="5" width="9.140625" customWidth="1"/>
    <col min="6" max="6" width="8.5703125" customWidth="1"/>
    <col min="7" max="7" width="9.7109375" customWidth="1"/>
  </cols>
  <sheetData>
    <row r="1" spans="1:7" ht="27">
      <c r="B1" s="59"/>
      <c r="C1" s="59"/>
      <c r="D1" s="59"/>
      <c r="E1" s="59"/>
      <c r="F1" s="59"/>
      <c r="G1" s="59"/>
    </row>
    <row r="2" spans="1:7" ht="22.5">
      <c r="B2" s="60"/>
      <c r="C2" s="60"/>
      <c r="D2" s="60"/>
      <c r="E2" s="60"/>
      <c r="F2" s="60"/>
      <c r="G2" s="60"/>
    </row>
    <row r="3" spans="1:7" ht="15.75">
      <c r="B3" s="61"/>
      <c r="C3" s="61"/>
      <c r="D3" s="61"/>
      <c r="E3" s="61"/>
      <c r="F3" s="61"/>
      <c r="G3" s="61"/>
    </row>
    <row r="4" spans="1:7">
      <c r="A4" s="1"/>
      <c r="B4" s="62"/>
      <c r="C4" s="58"/>
      <c r="D4" s="58"/>
      <c r="E4" s="58"/>
      <c r="F4" s="58"/>
      <c r="G4" s="58"/>
    </row>
    <row r="5" spans="1:7">
      <c r="A5" s="1"/>
      <c r="B5" s="58"/>
      <c r="C5" s="58"/>
      <c r="D5" s="58"/>
      <c r="E5" s="58"/>
      <c r="F5" s="58"/>
      <c r="G5" s="58"/>
    </row>
    <row r="6" spans="1:7">
      <c r="A6" s="1"/>
    </row>
    <row r="7" spans="1:7" ht="15" customHeight="1" thickBot="1">
      <c r="A7" s="4"/>
      <c r="B7" s="63" t="s">
        <v>1</v>
      </c>
      <c r="C7" s="64"/>
      <c r="D7" s="65" t="s">
        <v>12</v>
      </c>
      <c r="E7" s="58"/>
      <c r="F7" s="58"/>
      <c r="G7" s="6" t="s">
        <v>2</v>
      </c>
    </row>
    <row r="8" spans="1:7" ht="15.75" customHeight="1">
      <c r="A8" s="4"/>
      <c r="B8" s="57" t="s">
        <v>10</v>
      </c>
      <c r="C8" s="58"/>
      <c r="D8" s="72" t="s">
        <v>65</v>
      </c>
      <c r="E8" s="73"/>
      <c r="F8" s="73"/>
      <c r="G8" s="74"/>
    </row>
    <row r="9" spans="1:7" ht="19.5" customHeight="1">
      <c r="A9" s="4"/>
      <c r="B9" s="5" t="s">
        <v>11</v>
      </c>
      <c r="C9" s="9"/>
      <c r="D9" s="75"/>
      <c r="E9" s="76"/>
      <c r="F9" s="76"/>
      <c r="G9" s="77"/>
    </row>
    <row r="10" spans="1:7" ht="19.5" customHeight="1" thickBot="1">
      <c r="A10" s="4"/>
      <c r="B10" s="5"/>
      <c r="C10" s="9"/>
      <c r="D10" s="78"/>
      <c r="E10" s="79"/>
      <c r="F10" s="79"/>
      <c r="G10" s="80"/>
    </row>
    <row r="11" spans="1:7" ht="116.25" customHeight="1" thickBot="1">
      <c r="B11" s="13" t="s">
        <v>6</v>
      </c>
      <c r="C11" s="14" t="s">
        <v>7</v>
      </c>
      <c r="D11" s="38" t="s">
        <v>62</v>
      </c>
      <c r="E11" s="50" t="s">
        <v>63</v>
      </c>
      <c r="F11" s="47" t="s">
        <v>46</v>
      </c>
      <c r="G11" s="16" t="s">
        <v>45</v>
      </c>
    </row>
    <row r="12" spans="1:7">
      <c r="B12" s="17">
        <v>1</v>
      </c>
      <c r="C12" s="34" t="s">
        <v>26</v>
      </c>
      <c r="D12" s="22">
        <v>67</v>
      </c>
      <c r="E12" s="49">
        <v>19</v>
      </c>
      <c r="F12" s="18">
        <f>D12+E12</f>
        <v>86</v>
      </c>
      <c r="G12" s="20">
        <f>F12/10</f>
        <v>8.6</v>
      </c>
    </row>
    <row r="13" spans="1:7">
      <c r="B13" s="21">
        <v>2</v>
      </c>
      <c r="C13" s="34" t="s">
        <v>38</v>
      </c>
      <c r="D13" s="18">
        <v>70</v>
      </c>
      <c r="E13" s="18">
        <v>18</v>
      </c>
      <c r="F13" s="18">
        <f t="shared" ref="F13:F32" si="0">D13+E13</f>
        <v>88</v>
      </c>
      <c r="G13" s="20">
        <f t="shared" ref="G13:G32" si="1">F13/10</f>
        <v>8.8000000000000007</v>
      </c>
    </row>
    <row r="14" spans="1:7">
      <c r="B14" s="17">
        <v>3</v>
      </c>
      <c r="C14" s="34" t="s">
        <v>29</v>
      </c>
      <c r="D14" s="22">
        <v>70</v>
      </c>
      <c r="E14" s="22">
        <v>25</v>
      </c>
      <c r="F14" s="18">
        <f t="shared" si="0"/>
        <v>95</v>
      </c>
      <c r="G14" s="20">
        <f t="shared" si="1"/>
        <v>9.5</v>
      </c>
    </row>
    <row r="15" spans="1:7">
      <c r="B15" s="21">
        <v>4</v>
      </c>
      <c r="C15" s="35" t="s">
        <v>34</v>
      </c>
      <c r="D15" s="22">
        <v>65</v>
      </c>
      <c r="E15" s="22">
        <v>20</v>
      </c>
      <c r="F15" s="18">
        <f t="shared" si="0"/>
        <v>85</v>
      </c>
      <c r="G15" s="20">
        <f t="shared" si="1"/>
        <v>8.5</v>
      </c>
    </row>
    <row r="16" spans="1:7">
      <c r="B16" s="17">
        <v>5</v>
      </c>
      <c r="C16" s="34" t="s">
        <v>39</v>
      </c>
      <c r="D16" s="18"/>
      <c r="E16" s="18"/>
      <c r="F16" s="18">
        <f t="shared" si="0"/>
        <v>0</v>
      </c>
      <c r="G16" s="20">
        <f t="shared" si="1"/>
        <v>0</v>
      </c>
    </row>
    <row r="17" spans="2:7">
      <c r="B17" s="21">
        <v>6</v>
      </c>
      <c r="C17" s="34" t="s">
        <v>51</v>
      </c>
      <c r="D17" s="18">
        <v>65</v>
      </c>
      <c r="E17" s="18">
        <v>18</v>
      </c>
      <c r="F17" s="18">
        <f t="shared" si="0"/>
        <v>83</v>
      </c>
      <c r="G17" s="20">
        <f t="shared" si="1"/>
        <v>8.3000000000000007</v>
      </c>
    </row>
    <row r="18" spans="2:7">
      <c r="B18" s="17">
        <v>7</v>
      </c>
      <c r="C18" s="34" t="s">
        <v>41</v>
      </c>
      <c r="D18" s="27">
        <v>66</v>
      </c>
      <c r="E18" s="27">
        <v>20</v>
      </c>
      <c r="F18" s="18">
        <f t="shared" si="0"/>
        <v>86</v>
      </c>
      <c r="G18" s="20">
        <f t="shared" si="1"/>
        <v>8.6</v>
      </c>
    </row>
    <row r="19" spans="2:7">
      <c r="B19" s="21">
        <v>8</v>
      </c>
      <c r="C19" s="34" t="s">
        <v>37</v>
      </c>
      <c r="D19" s="42">
        <v>67</v>
      </c>
      <c r="E19" s="42">
        <v>21</v>
      </c>
      <c r="F19" s="18">
        <f t="shared" ref="F19" si="2">D19+E19</f>
        <v>88</v>
      </c>
      <c r="G19" s="20">
        <f t="shared" ref="G19" si="3">F19/10</f>
        <v>8.8000000000000007</v>
      </c>
    </row>
    <row r="20" spans="2:7">
      <c r="B20" s="17">
        <v>9</v>
      </c>
      <c r="C20" s="34" t="s">
        <v>32</v>
      </c>
      <c r="D20" s="18">
        <v>65</v>
      </c>
      <c r="E20" s="18">
        <v>20</v>
      </c>
      <c r="F20" s="18">
        <f t="shared" si="0"/>
        <v>85</v>
      </c>
      <c r="G20" s="20">
        <f t="shared" si="1"/>
        <v>8.5</v>
      </c>
    </row>
    <row r="21" spans="2:7">
      <c r="B21" s="21">
        <v>10</v>
      </c>
      <c r="C21" s="34" t="s">
        <v>40</v>
      </c>
      <c r="D21" s="42">
        <v>65</v>
      </c>
      <c r="E21" s="42">
        <v>20</v>
      </c>
      <c r="F21" s="18">
        <f t="shared" si="0"/>
        <v>85</v>
      </c>
      <c r="G21" s="20">
        <f t="shared" si="1"/>
        <v>8.5</v>
      </c>
    </row>
    <row r="22" spans="2:7">
      <c r="B22" s="17">
        <v>11</v>
      </c>
      <c r="C22" s="34" t="s">
        <v>43</v>
      </c>
      <c r="D22" s="27">
        <v>68</v>
      </c>
      <c r="E22" s="27">
        <v>21</v>
      </c>
      <c r="F22" s="18">
        <f t="shared" si="0"/>
        <v>89</v>
      </c>
      <c r="G22" s="20">
        <f t="shared" si="1"/>
        <v>8.9</v>
      </c>
    </row>
    <row r="23" spans="2:7">
      <c r="B23" s="21">
        <v>12</v>
      </c>
      <c r="C23" s="34" t="s">
        <v>30</v>
      </c>
      <c r="D23" s="42">
        <v>65</v>
      </c>
      <c r="E23" s="42">
        <v>20</v>
      </c>
      <c r="F23" s="18">
        <f t="shared" si="0"/>
        <v>85</v>
      </c>
      <c r="G23" s="20">
        <f t="shared" si="1"/>
        <v>8.5</v>
      </c>
    </row>
    <row r="24" spans="2:7">
      <c r="B24" s="21">
        <v>13</v>
      </c>
      <c r="C24" s="34" t="s">
        <v>36</v>
      </c>
      <c r="D24" s="22">
        <v>70</v>
      </c>
      <c r="E24" s="22">
        <v>25</v>
      </c>
      <c r="F24" s="18">
        <f t="shared" si="0"/>
        <v>95</v>
      </c>
      <c r="G24" s="20">
        <f t="shared" si="1"/>
        <v>9.5</v>
      </c>
    </row>
    <row r="25" spans="2:7">
      <c r="B25" s="21">
        <v>14</v>
      </c>
      <c r="C25" s="34" t="s">
        <v>33</v>
      </c>
      <c r="D25" s="22">
        <v>65</v>
      </c>
      <c r="E25" s="22">
        <v>20</v>
      </c>
      <c r="F25" s="18">
        <f t="shared" si="0"/>
        <v>85</v>
      </c>
      <c r="G25" s="20">
        <f t="shared" si="1"/>
        <v>8.5</v>
      </c>
    </row>
    <row r="26" spans="2:7">
      <c r="B26" s="21">
        <v>15</v>
      </c>
      <c r="C26" s="33" t="s">
        <v>25</v>
      </c>
      <c r="D26" s="42">
        <v>68</v>
      </c>
      <c r="E26" s="42">
        <v>21</v>
      </c>
      <c r="F26" s="18">
        <f t="shared" si="0"/>
        <v>89</v>
      </c>
      <c r="G26" s="20">
        <f t="shared" si="1"/>
        <v>8.9</v>
      </c>
    </row>
    <row r="27" spans="2:7">
      <c r="B27" s="21">
        <v>16</v>
      </c>
      <c r="C27" s="34" t="s">
        <v>42</v>
      </c>
      <c r="D27" s="42">
        <v>75</v>
      </c>
      <c r="E27" s="42">
        <v>20</v>
      </c>
      <c r="F27" s="18">
        <f t="shared" si="0"/>
        <v>95</v>
      </c>
      <c r="G27" s="20">
        <f t="shared" si="1"/>
        <v>9.5</v>
      </c>
    </row>
    <row r="28" spans="2:7">
      <c r="B28" s="21">
        <v>17</v>
      </c>
      <c r="C28" s="34" t="s">
        <v>28</v>
      </c>
      <c r="D28" s="42">
        <v>65</v>
      </c>
      <c r="E28" s="42">
        <v>19</v>
      </c>
      <c r="F28" s="18">
        <f t="shared" si="0"/>
        <v>84</v>
      </c>
      <c r="G28" s="20">
        <f t="shared" si="1"/>
        <v>8.4</v>
      </c>
    </row>
    <row r="29" spans="2:7">
      <c r="B29" s="21">
        <v>18</v>
      </c>
      <c r="C29" s="34" t="s">
        <v>35</v>
      </c>
      <c r="D29" s="22">
        <v>75</v>
      </c>
      <c r="E29" s="22">
        <v>20</v>
      </c>
      <c r="F29" s="18">
        <f t="shared" si="0"/>
        <v>95</v>
      </c>
      <c r="G29" s="20">
        <f t="shared" si="1"/>
        <v>9.5</v>
      </c>
    </row>
    <row r="30" spans="2:7">
      <c r="B30" s="21">
        <v>19</v>
      </c>
      <c r="C30" s="34" t="s">
        <v>31</v>
      </c>
      <c r="D30" s="42">
        <v>65</v>
      </c>
      <c r="E30" s="42">
        <v>20</v>
      </c>
      <c r="F30" s="18">
        <f t="shared" si="0"/>
        <v>85</v>
      </c>
      <c r="G30" s="20">
        <f t="shared" si="1"/>
        <v>8.5</v>
      </c>
    </row>
    <row r="31" spans="2:7">
      <c r="B31" s="21">
        <v>20</v>
      </c>
      <c r="C31" s="34" t="s">
        <v>54</v>
      </c>
      <c r="D31" s="42"/>
      <c r="E31" s="42"/>
      <c r="F31" s="18">
        <f t="shared" si="0"/>
        <v>0</v>
      </c>
      <c r="G31" s="20">
        <f t="shared" si="1"/>
        <v>0</v>
      </c>
    </row>
    <row r="32" spans="2:7">
      <c r="B32" s="21">
        <v>21</v>
      </c>
      <c r="C32" s="34" t="s">
        <v>27</v>
      </c>
      <c r="D32" s="42">
        <v>65</v>
      </c>
      <c r="E32" s="42">
        <v>20</v>
      </c>
      <c r="F32" s="18">
        <f t="shared" si="0"/>
        <v>85</v>
      </c>
      <c r="G32" s="20">
        <f t="shared" si="1"/>
        <v>8.5</v>
      </c>
    </row>
  </sheetData>
  <mergeCells count="8">
    <mergeCell ref="B8:C8"/>
    <mergeCell ref="B1:G1"/>
    <mergeCell ref="B2:G2"/>
    <mergeCell ref="B3:G3"/>
    <mergeCell ref="B4:G5"/>
    <mergeCell ref="B7:C7"/>
    <mergeCell ref="D7:F7"/>
    <mergeCell ref="D8:G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1925-4896-4CEF-ABAE-51C3EC7F14DF}">
  <dimension ref="A1:M31"/>
  <sheetViews>
    <sheetView zoomScale="70" zoomScaleNormal="70" workbookViewId="0">
      <selection activeCell="B1" sqref="B1:M1"/>
    </sheetView>
  </sheetViews>
  <sheetFormatPr baseColWidth="10" defaultColWidth="11" defaultRowHeight="15"/>
  <cols>
    <col min="1" max="1" width="5.28515625" customWidth="1"/>
    <col min="2" max="2" width="5.5703125" customWidth="1"/>
    <col min="3" max="3" width="42.28515625" customWidth="1"/>
    <col min="4" max="4" width="8.42578125" customWidth="1"/>
    <col min="5" max="5" width="9.140625" customWidth="1"/>
    <col min="6" max="6" width="14.28515625" customWidth="1"/>
    <col min="7" max="7" width="10.5703125" customWidth="1"/>
    <col min="8" max="8" width="9.42578125" customWidth="1"/>
    <col min="9" max="9" width="13" customWidth="1"/>
    <col min="10" max="10" width="13.42578125" customWidth="1"/>
    <col min="11" max="11" width="8.7109375" customWidth="1"/>
    <col min="12" max="12" width="11.5703125" customWidth="1"/>
    <col min="13" max="13" width="12.28515625" customWidth="1"/>
  </cols>
  <sheetData>
    <row r="1" spans="1:13" ht="27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22.5"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15.7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>
      <c r="A4" s="1"/>
      <c r="B4" s="62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>
      <c r="A5" s="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</row>
    <row r="6" spans="1:13">
      <c r="A6" s="1"/>
      <c r="G6" s="2" t="s">
        <v>0</v>
      </c>
      <c r="H6" s="2"/>
      <c r="I6" s="2"/>
      <c r="J6" s="2"/>
      <c r="K6" s="2"/>
    </row>
    <row r="7" spans="1:13" ht="18.75" customHeight="1" thickBot="1">
      <c r="A7" s="4"/>
      <c r="B7" s="63" t="s">
        <v>1</v>
      </c>
      <c r="C7" s="64"/>
      <c r="D7" s="85" t="s">
        <v>12</v>
      </c>
      <c r="E7" s="85"/>
      <c r="F7" s="85"/>
      <c r="G7" s="85"/>
      <c r="H7" s="85"/>
      <c r="I7" s="85"/>
      <c r="J7" s="6" t="s">
        <v>2</v>
      </c>
      <c r="K7" s="84"/>
      <c r="L7" s="84"/>
    </row>
    <row r="8" spans="1:13" ht="20.25" customHeight="1">
      <c r="A8" s="4"/>
      <c r="B8" s="57" t="s">
        <v>10</v>
      </c>
      <c r="C8" s="58"/>
      <c r="D8" s="66" t="s">
        <v>75</v>
      </c>
      <c r="E8" s="67"/>
      <c r="F8" s="67"/>
      <c r="G8" s="67"/>
      <c r="H8" s="67"/>
      <c r="I8" s="67"/>
      <c r="J8" s="67"/>
      <c r="K8" s="67"/>
      <c r="L8" s="67"/>
      <c r="M8" s="68"/>
    </row>
    <row r="9" spans="1:13" ht="30" customHeight="1" thickBot="1">
      <c r="A9" s="4"/>
      <c r="B9" s="5" t="s">
        <v>11</v>
      </c>
      <c r="C9" s="9"/>
      <c r="D9" s="81"/>
      <c r="E9" s="82"/>
      <c r="F9" s="82"/>
      <c r="G9" s="82"/>
      <c r="H9" s="82"/>
      <c r="I9" s="82"/>
      <c r="J9" s="82"/>
      <c r="K9" s="82"/>
      <c r="L9" s="82"/>
      <c r="M9" s="71"/>
    </row>
    <row r="10" spans="1:13" ht="197.25" customHeight="1" thickBot="1">
      <c r="B10" s="13" t="s">
        <v>6</v>
      </c>
      <c r="C10" s="14" t="s">
        <v>7</v>
      </c>
      <c r="D10" s="51" t="s">
        <v>66</v>
      </c>
      <c r="E10" s="51" t="s">
        <v>67</v>
      </c>
      <c r="F10" s="51" t="s">
        <v>68</v>
      </c>
      <c r="G10" s="51" t="s">
        <v>69</v>
      </c>
      <c r="H10" s="51" t="s">
        <v>70</v>
      </c>
      <c r="I10" s="51" t="s">
        <v>74</v>
      </c>
      <c r="J10" s="51" t="s">
        <v>71</v>
      </c>
      <c r="K10" s="51" t="s">
        <v>72</v>
      </c>
      <c r="L10" s="51" t="s">
        <v>73</v>
      </c>
      <c r="M10" s="28" t="s">
        <v>45</v>
      </c>
    </row>
    <row r="11" spans="1:13">
      <c r="B11" s="17">
        <v>1</v>
      </c>
      <c r="C11" s="34" t="s">
        <v>56</v>
      </c>
      <c r="D11" s="25">
        <v>5</v>
      </c>
      <c r="E11" s="25">
        <v>9</v>
      </c>
      <c r="F11" s="25">
        <v>7</v>
      </c>
      <c r="G11" s="25">
        <v>2</v>
      </c>
      <c r="H11" s="25">
        <v>5</v>
      </c>
      <c r="I11" s="25">
        <v>5</v>
      </c>
      <c r="J11" s="25">
        <v>9</v>
      </c>
      <c r="K11" s="25">
        <v>4</v>
      </c>
      <c r="L11" s="25">
        <v>4</v>
      </c>
      <c r="M11" s="54">
        <v>50</v>
      </c>
    </row>
    <row r="12" spans="1:13">
      <c r="B12" s="21">
        <v>2</v>
      </c>
      <c r="C12" s="86" t="s">
        <v>38</v>
      </c>
      <c r="D12" s="25">
        <v>5</v>
      </c>
      <c r="E12" s="25">
        <v>9</v>
      </c>
      <c r="F12" s="25">
        <v>7</v>
      </c>
      <c r="G12" s="25">
        <v>1</v>
      </c>
      <c r="H12" s="25">
        <v>4</v>
      </c>
      <c r="I12" s="25">
        <v>5</v>
      </c>
      <c r="J12" s="25">
        <v>10</v>
      </c>
      <c r="K12" s="25">
        <v>4</v>
      </c>
      <c r="L12" s="25">
        <v>4</v>
      </c>
      <c r="M12" s="54">
        <v>49</v>
      </c>
    </row>
    <row r="13" spans="1:13">
      <c r="B13" s="17">
        <v>3</v>
      </c>
      <c r="C13" s="34" t="s">
        <v>78</v>
      </c>
      <c r="D13" s="25">
        <v>5</v>
      </c>
      <c r="E13" s="25">
        <v>10</v>
      </c>
      <c r="F13" s="25">
        <v>10</v>
      </c>
      <c r="G13" s="25">
        <v>4</v>
      </c>
      <c r="H13" s="25">
        <v>6</v>
      </c>
      <c r="I13" s="25">
        <v>5</v>
      </c>
      <c r="J13" s="25">
        <v>10</v>
      </c>
      <c r="K13" s="25">
        <v>5</v>
      </c>
      <c r="L13" s="25">
        <v>5</v>
      </c>
      <c r="M13" s="54">
        <f>D13+E13+F13+G13+H13+I13+J13+K13+L13</f>
        <v>60</v>
      </c>
    </row>
    <row r="14" spans="1:13">
      <c r="B14" s="21">
        <v>4</v>
      </c>
      <c r="C14" s="34" t="s">
        <v>34</v>
      </c>
      <c r="D14" s="25">
        <v>5</v>
      </c>
      <c r="E14" s="25">
        <v>9</v>
      </c>
      <c r="F14" s="25">
        <v>7</v>
      </c>
      <c r="G14" s="25">
        <v>2</v>
      </c>
      <c r="H14" s="25">
        <v>5</v>
      </c>
      <c r="I14" s="25">
        <v>5</v>
      </c>
      <c r="J14" s="25">
        <v>8</v>
      </c>
      <c r="K14" s="25">
        <v>3</v>
      </c>
      <c r="L14" s="25">
        <v>4</v>
      </c>
      <c r="M14" s="54">
        <f>D14+E14+F14+G14+H14+I14+J14+K14+L14</f>
        <v>48</v>
      </c>
    </row>
    <row r="15" spans="1:13">
      <c r="B15" s="17">
        <v>5</v>
      </c>
      <c r="C15" s="34" t="s">
        <v>60</v>
      </c>
      <c r="D15" s="25">
        <v>5</v>
      </c>
      <c r="E15" s="25">
        <v>9</v>
      </c>
      <c r="F15" s="25">
        <v>7</v>
      </c>
      <c r="G15" s="25">
        <v>2</v>
      </c>
      <c r="H15" s="25">
        <v>4</v>
      </c>
      <c r="I15" s="25">
        <v>5</v>
      </c>
      <c r="J15" s="25">
        <v>10</v>
      </c>
      <c r="K15" s="25">
        <v>3</v>
      </c>
      <c r="L15" s="25">
        <v>4</v>
      </c>
      <c r="M15" s="54">
        <v>49</v>
      </c>
    </row>
    <row r="16" spans="1:13">
      <c r="B16" s="21">
        <v>6</v>
      </c>
      <c r="C16" s="34" t="s">
        <v>51</v>
      </c>
      <c r="D16" s="25">
        <v>4</v>
      </c>
      <c r="E16" s="25">
        <v>8</v>
      </c>
      <c r="F16" s="25">
        <v>9</v>
      </c>
      <c r="G16" s="25">
        <v>4</v>
      </c>
      <c r="H16" s="25">
        <v>5</v>
      </c>
      <c r="I16" s="25">
        <v>4</v>
      </c>
      <c r="J16" s="25">
        <v>8</v>
      </c>
      <c r="K16" s="25">
        <v>5</v>
      </c>
      <c r="L16" s="25">
        <v>4</v>
      </c>
      <c r="M16" s="54">
        <f>D16+E16+F16+G16+H16+I16+J16+K16+L16</f>
        <v>51</v>
      </c>
    </row>
    <row r="17" spans="2:13">
      <c r="B17" s="17">
        <v>7</v>
      </c>
      <c r="C17" s="34" t="s">
        <v>41</v>
      </c>
      <c r="D17" s="25">
        <v>5</v>
      </c>
      <c r="E17" s="25">
        <v>9</v>
      </c>
      <c r="F17" s="25">
        <v>7</v>
      </c>
      <c r="G17" s="25">
        <v>3</v>
      </c>
      <c r="H17" s="25">
        <v>5</v>
      </c>
      <c r="I17" s="25">
        <v>5</v>
      </c>
      <c r="J17" s="25">
        <v>8</v>
      </c>
      <c r="K17" s="25">
        <v>3</v>
      </c>
      <c r="L17" s="25">
        <v>3</v>
      </c>
      <c r="M17" s="54">
        <f>D17+E17+F17+G17+H17+I17+J17+K17+L17</f>
        <v>48</v>
      </c>
    </row>
    <row r="18" spans="2:13">
      <c r="B18" s="21">
        <v>8</v>
      </c>
      <c r="C18" s="34" t="s">
        <v>76</v>
      </c>
      <c r="D18" s="25">
        <v>5</v>
      </c>
      <c r="E18" s="25">
        <v>9</v>
      </c>
      <c r="F18" s="25">
        <v>8</v>
      </c>
      <c r="G18" s="25">
        <v>2</v>
      </c>
      <c r="H18" s="25">
        <v>5</v>
      </c>
      <c r="I18" s="25">
        <v>5</v>
      </c>
      <c r="J18" s="25">
        <v>9</v>
      </c>
      <c r="K18" s="25">
        <v>4</v>
      </c>
      <c r="L18" s="25">
        <v>5</v>
      </c>
      <c r="M18" s="54">
        <f>D18+E18+F18+G18+H18+I18+J18+K18+L18</f>
        <v>52</v>
      </c>
    </row>
    <row r="19" spans="2:13">
      <c r="B19" s="17">
        <v>9</v>
      </c>
      <c r="C19" s="34" t="s">
        <v>58</v>
      </c>
      <c r="D19" s="25">
        <v>5</v>
      </c>
      <c r="E19" s="25">
        <v>10</v>
      </c>
      <c r="F19" s="25">
        <v>10</v>
      </c>
      <c r="G19" s="25">
        <v>3</v>
      </c>
      <c r="H19" s="25">
        <v>6</v>
      </c>
      <c r="I19" s="25">
        <v>5</v>
      </c>
      <c r="J19" s="25">
        <v>10</v>
      </c>
      <c r="K19" s="25">
        <v>5</v>
      </c>
      <c r="L19" s="25">
        <v>5</v>
      </c>
      <c r="M19" s="54">
        <v>59</v>
      </c>
    </row>
    <row r="20" spans="2:13">
      <c r="B20" s="21">
        <v>10</v>
      </c>
      <c r="C20" s="34" t="s">
        <v>40</v>
      </c>
      <c r="D20" s="25">
        <v>5</v>
      </c>
      <c r="E20" s="25">
        <v>8</v>
      </c>
      <c r="F20" s="25">
        <v>7</v>
      </c>
      <c r="G20" s="25">
        <v>2</v>
      </c>
      <c r="H20" s="25">
        <v>5</v>
      </c>
      <c r="I20" s="25">
        <v>5</v>
      </c>
      <c r="J20" s="25">
        <v>8</v>
      </c>
      <c r="K20" s="25">
        <v>3</v>
      </c>
      <c r="L20" s="25">
        <v>4</v>
      </c>
      <c r="M20" s="54">
        <f>D20+E20+F20+G20+H20+I20+J20+K20+L20</f>
        <v>47</v>
      </c>
    </row>
    <row r="21" spans="2:13">
      <c r="B21" s="17">
        <v>11</v>
      </c>
      <c r="C21" t="s">
        <v>80</v>
      </c>
      <c r="D21" s="25">
        <v>3</v>
      </c>
      <c r="E21" s="25">
        <v>9</v>
      </c>
      <c r="F21" s="25">
        <v>8</v>
      </c>
      <c r="G21" s="25">
        <v>4</v>
      </c>
      <c r="H21" s="25">
        <v>5</v>
      </c>
      <c r="I21" s="25">
        <v>5</v>
      </c>
      <c r="J21" s="25">
        <v>9</v>
      </c>
      <c r="K21" s="25">
        <v>4</v>
      </c>
      <c r="L21" s="25">
        <v>5</v>
      </c>
      <c r="M21" s="54">
        <f>D21+E21+F21+G21+H21+I21+J21+K21+L21</f>
        <v>52</v>
      </c>
    </row>
    <row r="22" spans="2:13">
      <c r="B22" s="21">
        <v>12</v>
      </c>
      <c r="C22" s="34" t="s">
        <v>30</v>
      </c>
      <c r="D22" s="25">
        <v>5</v>
      </c>
      <c r="E22" s="25">
        <v>8</v>
      </c>
      <c r="F22" s="25">
        <v>7</v>
      </c>
      <c r="G22" s="25">
        <v>2</v>
      </c>
      <c r="H22" s="25">
        <v>5</v>
      </c>
      <c r="I22" s="25">
        <v>5</v>
      </c>
      <c r="J22" s="25">
        <v>8</v>
      </c>
      <c r="K22" s="25">
        <v>3</v>
      </c>
      <c r="L22" s="25">
        <v>4</v>
      </c>
      <c r="M22" s="54">
        <f>D22+E22+F22+G22+H22+I22+J22+K22+L22</f>
        <v>47</v>
      </c>
    </row>
    <row r="23" spans="2:13">
      <c r="B23" s="21">
        <v>13</v>
      </c>
      <c r="C23" s="34" t="s">
        <v>36</v>
      </c>
      <c r="D23" s="25">
        <v>3.5</v>
      </c>
      <c r="E23" s="25">
        <v>8</v>
      </c>
      <c r="F23" s="25">
        <v>8</v>
      </c>
      <c r="G23" s="25">
        <v>4</v>
      </c>
      <c r="H23" s="25">
        <v>4.5</v>
      </c>
      <c r="I23" s="25">
        <v>5</v>
      </c>
      <c r="J23" s="25">
        <v>8.5</v>
      </c>
      <c r="K23" s="25">
        <v>4.5</v>
      </c>
      <c r="L23" s="25">
        <v>5</v>
      </c>
      <c r="M23" s="54">
        <f>D23+E23+F23+G23+H23+I23+J23+K23+L23</f>
        <v>51</v>
      </c>
    </row>
    <row r="24" spans="2:13">
      <c r="B24" s="21">
        <v>14</v>
      </c>
      <c r="C24" s="34" t="s">
        <v>33</v>
      </c>
      <c r="D24" s="25">
        <v>5</v>
      </c>
      <c r="E24" s="25">
        <v>9</v>
      </c>
      <c r="F24" s="25">
        <v>10</v>
      </c>
      <c r="G24" s="25">
        <v>4</v>
      </c>
      <c r="H24" s="25">
        <v>6</v>
      </c>
      <c r="I24" s="25">
        <v>5</v>
      </c>
      <c r="J24" s="25">
        <v>9</v>
      </c>
      <c r="K24" s="25">
        <v>5</v>
      </c>
      <c r="L24" s="25">
        <v>5</v>
      </c>
      <c r="M24" s="54">
        <f>D24+E24+F24+G24+H24+I24+J24+K24+L24</f>
        <v>58</v>
      </c>
    </row>
    <row r="25" spans="2:13">
      <c r="B25" s="21">
        <v>15</v>
      </c>
      <c r="C25" s="34" t="s">
        <v>57</v>
      </c>
      <c r="D25" s="25">
        <v>5</v>
      </c>
      <c r="E25" s="25">
        <v>10</v>
      </c>
      <c r="F25" s="25">
        <v>9</v>
      </c>
      <c r="G25" s="25">
        <v>2</v>
      </c>
      <c r="H25" s="25">
        <v>6</v>
      </c>
      <c r="I25" s="25">
        <v>5</v>
      </c>
      <c r="J25" s="25">
        <v>10</v>
      </c>
      <c r="K25" s="25">
        <v>3</v>
      </c>
      <c r="L25" s="25">
        <v>4</v>
      </c>
      <c r="M25" s="54">
        <v>54</v>
      </c>
    </row>
    <row r="26" spans="2:13">
      <c r="B26" s="21">
        <v>16</v>
      </c>
      <c r="C26" s="34" t="s">
        <v>42</v>
      </c>
      <c r="D26" s="25">
        <v>5</v>
      </c>
      <c r="E26" s="25">
        <v>9</v>
      </c>
      <c r="F26" s="25">
        <v>8</v>
      </c>
      <c r="G26" s="25">
        <v>2</v>
      </c>
      <c r="H26" s="25">
        <v>5</v>
      </c>
      <c r="I26" s="25">
        <v>5</v>
      </c>
      <c r="J26" s="25">
        <v>9</v>
      </c>
      <c r="K26" s="25">
        <v>4</v>
      </c>
      <c r="L26" s="25">
        <v>5</v>
      </c>
      <c r="M26" s="54">
        <f>D26+E26+F26+G26+H26+I26+J26+K26+L26</f>
        <v>52</v>
      </c>
    </row>
    <row r="27" spans="2:13">
      <c r="B27" s="21">
        <v>17</v>
      </c>
      <c r="C27" s="34" t="s">
        <v>79</v>
      </c>
      <c r="D27" s="25">
        <v>5</v>
      </c>
      <c r="E27" s="25">
        <v>9</v>
      </c>
      <c r="F27" s="25">
        <v>8</v>
      </c>
      <c r="G27" s="25">
        <v>2</v>
      </c>
      <c r="H27" s="25">
        <v>5</v>
      </c>
      <c r="I27" s="25">
        <v>5</v>
      </c>
      <c r="J27" s="25">
        <v>9</v>
      </c>
      <c r="K27" s="25">
        <v>5</v>
      </c>
      <c r="L27" s="25">
        <v>5</v>
      </c>
      <c r="M27" s="54">
        <v>53</v>
      </c>
    </row>
    <row r="28" spans="2:13">
      <c r="B28" s="21">
        <v>18</v>
      </c>
      <c r="C28" s="34" t="s">
        <v>35</v>
      </c>
      <c r="D28" s="25">
        <v>3.5</v>
      </c>
      <c r="E28" s="25">
        <v>8</v>
      </c>
      <c r="F28" s="25">
        <v>8</v>
      </c>
      <c r="G28" s="25">
        <v>4</v>
      </c>
      <c r="H28" s="25">
        <v>4.5</v>
      </c>
      <c r="I28" s="25">
        <v>5</v>
      </c>
      <c r="J28" s="25">
        <v>8.5</v>
      </c>
      <c r="K28" s="25">
        <v>4.5</v>
      </c>
      <c r="L28" s="25">
        <v>5</v>
      </c>
      <c r="M28" s="54">
        <f>D28+E28+F28+G28+H28+I28+J28+K28+L28</f>
        <v>51</v>
      </c>
    </row>
    <row r="29" spans="2:13">
      <c r="B29" s="21">
        <v>19</v>
      </c>
      <c r="C29" s="34" t="s">
        <v>31</v>
      </c>
      <c r="D29" s="25">
        <v>5</v>
      </c>
      <c r="E29" s="25">
        <v>8</v>
      </c>
      <c r="F29" s="25">
        <v>7</v>
      </c>
      <c r="G29" s="25">
        <v>2</v>
      </c>
      <c r="H29" s="25">
        <v>5</v>
      </c>
      <c r="I29" s="25">
        <v>5</v>
      </c>
      <c r="J29" s="25">
        <v>8</v>
      </c>
      <c r="K29" s="25">
        <v>3</v>
      </c>
      <c r="L29" s="25">
        <v>4</v>
      </c>
      <c r="M29" s="54">
        <f>D29+E29+F29+G29+H29+I29+J29+K29+L29</f>
        <v>47</v>
      </c>
    </row>
    <row r="30" spans="2:13">
      <c r="B30" s="21">
        <v>20</v>
      </c>
      <c r="C30" s="34" t="s">
        <v>54</v>
      </c>
      <c r="D30" s="25">
        <v>4</v>
      </c>
      <c r="E30" s="25">
        <v>8</v>
      </c>
      <c r="F30" s="25">
        <v>8</v>
      </c>
      <c r="G30" s="25">
        <v>3</v>
      </c>
      <c r="H30" s="25">
        <v>5</v>
      </c>
      <c r="I30" s="25">
        <v>5</v>
      </c>
      <c r="J30" s="25">
        <v>9</v>
      </c>
      <c r="K30" s="25">
        <v>5</v>
      </c>
      <c r="L30" s="25">
        <v>5</v>
      </c>
      <c r="M30" s="54">
        <f>D30+E30+F30+G30+H30+I30+J30+K30+L30</f>
        <v>52</v>
      </c>
    </row>
    <row r="31" spans="2:13">
      <c r="B31" s="21">
        <v>21</v>
      </c>
      <c r="C31" s="34" t="s">
        <v>77</v>
      </c>
      <c r="D31" s="25">
        <v>5</v>
      </c>
      <c r="E31" s="25">
        <v>9</v>
      </c>
      <c r="F31" s="25">
        <v>8</v>
      </c>
      <c r="G31" s="25">
        <v>4</v>
      </c>
      <c r="H31" s="25">
        <v>5</v>
      </c>
      <c r="I31" s="25">
        <v>5</v>
      </c>
      <c r="J31" s="25">
        <v>9</v>
      </c>
      <c r="K31" s="25">
        <v>5</v>
      </c>
      <c r="L31" s="25">
        <v>5</v>
      </c>
      <c r="M31" s="54">
        <f>D31+E31+F31+G31+H31+I31+J31+K31+L31</f>
        <v>55</v>
      </c>
    </row>
  </sheetData>
  <mergeCells count="8">
    <mergeCell ref="B8:C8"/>
    <mergeCell ref="D8:M9"/>
    <mergeCell ref="B1:M1"/>
    <mergeCell ref="B2:M2"/>
    <mergeCell ref="B3:M3"/>
    <mergeCell ref="B4:M5"/>
    <mergeCell ref="B7:C7"/>
    <mergeCell ref="D7:I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Planilla General</vt:lpstr>
      <vt:lpstr>Asistencia</vt:lpstr>
      <vt:lpstr>Trabajo Pract 1</vt:lpstr>
      <vt:lpstr>Trabajo Pract 2</vt:lpstr>
      <vt:lpstr>Trabajo Pract 3</vt:lpstr>
      <vt:lpstr>Monografía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2026-09-08T19:43:32Z</dcterms:modified>
</cp:coreProperties>
</file>